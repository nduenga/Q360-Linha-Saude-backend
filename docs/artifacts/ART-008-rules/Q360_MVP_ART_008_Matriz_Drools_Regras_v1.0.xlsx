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fd4d2399d41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le Matrix" sheetId="1" r:id="R75200c065f5741d0"/>
    <x:sheet xmlns:r="http://schemas.openxmlformats.org/officeDocument/2006/relationships" name="Parameter Catalogue" sheetId="2" r:id="R296be1bc0e0e4890"/>
    <x:sheet xmlns:r="http://schemas.openxmlformats.org/officeDocument/2006/relationships" name="Execution Model" sheetId="3" r:id="Rf47e90539d474e42"/>
    <x:sheet xmlns:r="http://schemas.openxmlformats.org/officeDocument/2006/relationships" name="Rule Test Matrix" sheetId="4" r:id="R02837fbf187e4f8a"/>
    <x:sheet xmlns:r="http://schemas.openxmlformats.org/officeDocument/2006/relationships" name="Control Summary" sheetId="5" r:id="R3ca5bf7481514a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5"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ea4adedb647b7" /><Relationship Type="http://schemas.openxmlformats.org/officeDocument/2006/relationships/theme" Target="/xl/theme/theme1.xml" Id="Rf8fce731b7904816" /><Relationship Type="http://schemas.openxmlformats.org/officeDocument/2006/relationships/sharedStrings" Target="/xl/sharedStrings.xml" Id="R61ba0108a58440da" /><Relationship Type="http://schemas.openxmlformats.org/officeDocument/2006/relationships/worksheet" Target="/xl/worksheets/sheet1.xml" Id="R75200c065f5741d0" /><Relationship Type="http://schemas.openxmlformats.org/officeDocument/2006/relationships/worksheet" Target="/xl/worksheets/sheet2.xml" Id="R296be1bc0e0e4890" /><Relationship Type="http://schemas.openxmlformats.org/officeDocument/2006/relationships/worksheet" Target="/xl/worksheets/sheet3.xml" Id="Rf47e90539d474e42" /><Relationship Type="http://schemas.openxmlformats.org/officeDocument/2006/relationships/worksheet" Target="/xl/worksheets/sheet4.xml" Id="R02837fbf187e4f8a" /><Relationship Type="http://schemas.openxmlformats.org/officeDocument/2006/relationships/worksheet" Target="/xl/worksheets/sheet5.xml" Id="R3ca5bf7481514a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a4e88e746cb41f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V1 Rules by Domain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Eligibility</c:v>
          </c:tx>
          <c:cat>
            <c:strRef>
              <c:f>'Control Summary'!$A$2</c:f>
              <c:strCache>
                <c:ptCount val="0"/>
              </c:strCache>
            </c:strRef>
          </c:cat>
          <c:val>
            <c:numRef>
              <c:f>'Control Summary'!$B$2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Pricing</c:v>
          </c:tx>
          <c:cat>
            <c:strRef>
              <c:f>'Control Summary'!$A$2</c:f>
              <c:strCache>
                <c:ptCount val="0"/>
              </c:strCache>
            </c:strRef>
          </c:cat>
          <c:val>
            <c:numRef>
              <c:f>'Control Summary'!$C$2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Validation</c:v>
          </c:tx>
          <c:cat>
            <c:strRef>
              <c:f>'Control Summary'!$A$2</c:f>
              <c:strCache>
                <c:ptCount val="0"/>
              </c:strCache>
            </c:strRef>
          </c:cat>
          <c:val>
            <c:numRef>
              <c:f>'Control Summary'!$D$2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Workflow</c:v>
          </c:tx>
          <c:cat>
            <c:strRef>
              <c:f>'Control Summary'!$A$2</c:f>
              <c:strCache>
                <c:ptCount val="0"/>
              </c:strCache>
            </c:strRef>
          </c:cat>
          <c:val>
            <c:numRef>
              <c:f>'Control Summary'!$E$2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4e88e746cb41f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uleMatrixTable" displayName="RuleMatrixTable" ref="A1:T38" headerRowCount="1" totalsRowCount="0" totalsRowShown="0">
  <x:tableColumns count="20">
    <x:tableColumn id="1" name="Rule ID"/>
    <x:tableColumn id="2" name="Domain"/>
    <x:tableColumn id="3" name="Category"/>
    <x:tableColumn id="4" name="Version"/>
    <x:tableColumn id="5" name="Status"/>
    <x:tableColumn id="6" name="Product Scope"/>
    <x:tableColumn id="7" name="Entity"/>
    <x:tableColumn id="8" name="Rule / Trigger"/>
    <x:tableColumn id="9" name="Condition (logical)"/>
    <x:tableColumn id="10" name="Parameter / Source"/>
    <x:tableColumn id="11" name="Outcome"/>
    <x:tableColumn id="12" name="Code / Event"/>
    <x:tableColumn id="13" name="User-safe Message / Effect"/>
    <x:tableColumn id="14" name="Emits Event"/>
    <x:tableColumn id="15" name="Configurable"/>
    <x:tableColumn id="16" name="Sprint"/>
    <x:tableColumn id="17" name="Story"/>
    <x:tableColumn id="18" name="Golden Test"/>
    <x:tableColumn id="19" name="Open Decision / Authority"/>
    <x:tableColumn id="20" name="Implementation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rameterCatalogueTable" displayName="ParameterCatalogueTable" ref="A1:I16" headerRowCount="1" totalsRowCount="0" totalsRowShown="0">
  <x:tableColumns count="9">
    <x:tableColumn id="1" name="Parameter Code"/>
    <x:tableColumn id="2" name="Domain"/>
    <x:tableColumn id="3" name="Type"/>
    <x:tableColumn id="4" name="Versioned"/>
    <x:tableColumn id="5" name="Value in ART-008?"/>
    <x:tableColumn id="6" name="Source/Owner"/>
    <x:tableColumn id="7" name="Open Decision"/>
    <x:tableColumn id="8" name="Rule IDs"/>
    <x:tableColumn id="9" name="Purpo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leTestsTable" displayName="RuleTestsTable" ref="A1:I75" headerRowCount="1" totalsRowCount="0" totalsRowShown="0">
  <x:tableColumns count="9">
    <x:tableColumn id="1" name="Test ID"/>
    <x:tableColumn id="2" name="Rule ID"/>
    <x:tableColumn id="3" name="Test Type"/>
    <x:tableColumn id="4" name="Given"/>
    <x:tableColumn id="5" name="When"/>
    <x:tableColumn id="6" name="Expected Outcome"/>
    <x:tableColumn id="7" name="Expected Code/Event"/>
    <x:tableColumn id="8" name="Deterministic"/>
    <x:tableColumn id="9" name="Release Block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a36d75952247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b6724d90fab48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a6ee232a4344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8d5e6b145c19400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9" hidden="0" customWidth="1"/>
    <x:col min="5" max="5" width="20" hidden="0" customWidth="1"/>
    <x:col min="6" max="6" width="14" hidden="0" customWidth="1"/>
    <x:col min="7" max="7" width="14" hidden="0" customWidth="1"/>
    <x:col min="8" max="8" width="30" hidden="0" customWidth="1"/>
    <x:col min="9" max="9" width="42" hidden="0" customWidth="1"/>
    <x:col min="10" max="10" width="24" hidden="0" customWidth="1"/>
    <x:col min="11" max="11" width="18" hidden="0" customWidth="1"/>
    <x:col min="12" max="12" width="24" hidden="0" customWidth="1"/>
    <x:col min="13" max="13" width="32" hidden="0" customWidth="1"/>
    <x:col min="14" max="14" width="12" hidden="0" customWidth="1"/>
    <x:col min="15" max="15" width="12" hidden="0" customWidth="1"/>
    <x:col min="16" max="16" width="10" hidden="0" customWidth="1"/>
    <x:col min="17" max="17" width="24" hidden="0" customWidth="1"/>
    <x:col min="18" max="18" width="18" hidden="0" customWidth="1"/>
    <x:col min="19" max="19" width="24" hidden="0" customWidth="1"/>
    <x:col min="20" max="20" width="34" hidden="0" customWidth="1"/>
  </x:cols>
  <x:sheetData>
    <x:row r="1">
      <x:c r="A1" s="6" t="str">
        <x:v>Rule ID</x:v>
      </x:c>
      <x:c r="B1" s="6" t="str">
        <x:v>Domain</x:v>
      </x:c>
      <x:c r="C1" s="6" t="str">
        <x:v>Category</x:v>
      </x:c>
      <x:c r="D1" s="6" t="str">
        <x:v>Version</x:v>
      </x:c>
      <x:c r="E1" s="6" t="str">
        <x:v>Status</x:v>
      </x:c>
      <x:c r="F1" s="6" t="str">
        <x:v>Product Scope</x:v>
      </x:c>
      <x:c r="G1" s="6" t="str">
        <x:v>Entity</x:v>
      </x:c>
      <x:c r="H1" s="6" t="str">
        <x:v>Rule / Trigger</x:v>
      </x:c>
      <x:c r="I1" s="6" t="str">
        <x:v>Condition (logical)</x:v>
      </x:c>
      <x:c r="J1" s="6" t="str">
        <x:v>Parameter / Source</x:v>
      </x:c>
      <x:c r="K1" s="6" t="str">
        <x:v>Outcome</x:v>
      </x:c>
      <x:c r="L1" s="6" t="str">
        <x:v>Code / Event</x:v>
      </x:c>
      <x:c r="M1" s="6" t="str">
        <x:v>User-safe Message / Effect</x:v>
      </x:c>
      <x:c r="N1" s="6" t="str">
        <x:v>Emits Event</x:v>
      </x:c>
      <x:c r="O1" s="6" t="str">
        <x:v>Configurable</x:v>
      </x:c>
      <x:c r="P1" s="6" t="str">
        <x:v>Sprint</x:v>
      </x:c>
      <x:c r="Q1" s="6" t="str">
        <x:v>Story</x:v>
      </x:c>
      <x:c r="R1" s="6" t="str">
        <x:v>Golden Test</x:v>
      </x:c>
      <x:c r="S1" s="6" t="str">
        <x:v>Open Decision / Authority</x:v>
      </x:c>
      <x:c r="T1" s="6" t="str">
        <x:v>Implementation Notes</x:v>
      </x:c>
    </x:row>
    <x:row r="2">
      <x:c r="A2" s="12" t="str">
        <x:v>ELIG-001</x:v>
      </x:c>
      <x:c r="B2" s="12" t="str">
        <x:v>Eligibility</x:v>
      </x:c>
      <x:c r="C2" s="12" t="str">
        <x:v>Completeness</x:v>
      </x:c>
      <x:c r="D2" s="12" t="str">
        <x:v>1</x:v>
      </x:c>
      <x:c r="E2" s="12" t="str">
        <x:v>PUBLISHED-CANDIDATE</x:v>
      </x:c>
      <x:c r="F2" s="12" t="str">
        <x:v>All</x:v>
      </x:c>
      <x:c r="G2" s="12" t="str">
        <x:v>Member</x:v>
      </x:c>
      <x:c r="H2" s="12" t="str">
        <x:v>Mandatory minimum data available</x:v>
      </x:c>
      <x:c r="I2" s="12" t="str">
        <x:v>member.id != null; productVersionId != null; planId != null; effectiveDate != null</x:v>
      </x:c>
      <x:c r="J2" s="12" t="str">
        <x:v>—</x:v>
      </x:c>
      <x:c r="K2" s="12" t="str">
        <x:v>HARD_STOP</x:v>
      </x:c>
      <x:c r="L2" s="12" t="str">
        <x:v>VALIDATION-400</x:v>
      </x:c>
      <x:c r="M2" s="12" t="str">
        <x:v>Required input missing</x:v>
      </x:c>
      <x:c r="N2" s="12" t="str">
        <x:v>No</x:v>
      </x:c>
      <x:c r="O2" s="12" t="str">
        <x:v>No</x:v>
      </x:c>
      <x:c r="P2" s="12" t="str">
        <x:v>S3</x:v>
      </x:c>
      <x:c r="Q2" s="12" t="str">
        <x:v>Q360-S3-03</x:v>
      </x:c>
      <x:c r="R2" s="12" t="str">
        <x:v>GT-ELIG-001</x:v>
      </x:c>
      <x:c r="S2" s="12" t="str">
        <x:v>OD-003</x:v>
      </x:c>
      <x:c r="T2" s="12" t="str">
        <x:v>Do not invent final identity fields</x:v>
      </x:c>
    </x:row>
    <x:row r="3">
      <x:c r="A3" s="12" t="str">
        <x:v>ELIG-002</x:v>
      </x:c>
      <x:c r="B3" s="12" t="str">
        <x:v>Eligibility</x:v>
      </x:c>
      <x:c r="C3" s="12" t="str">
        <x:v>Age</x:v>
      </x:c>
      <x:c r="D3" s="12" t="str">
        <x:v>1</x:v>
      </x:c>
      <x:c r="E3" s="12" t="str">
        <x:v>DRAFT</x:v>
      </x:c>
      <x:c r="F3" s="12" t="str">
        <x:v>All</x:v>
      </x:c>
      <x:c r="G3" s="12" t="str">
        <x:v>Member</x:v>
      </x:c>
      <x:c r="H3" s="12" t="str">
        <x:v>Age can be calculated</x:v>
      </x:c>
      <x:c r="I3" s="12" t="str">
        <x:v>dateOfBirth != null</x:v>
      </x:c>
      <x:c r="J3" s="12" t="str">
        <x:v>—</x:v>
      </x:c>
      <x:c r="K3" s="12" t="str">
        <x:v>CONFIG_ERROR</x:v>
      </x:c>
      <x:c r="L3" s="12" t="str">
        <x:v>PRICING-CONFIG</x:v>
      </x:c>
      <x:c r="M3" s="12" t="str">
        <x:v>Date of birth unavailable for age-based rule</x:v>
      </x:c>
      <x:c r="N3" s="12" t="str">
        <x:v>No</x:v>
      </x:c>
      <x:c r="O3" s="12" t="str">
        <x:v>Yes</x:v>
      </x:c>
      <x:c r="P3" s="12" t="str">
        <x:v>S3</x:v>
      </x:c>
      <x:c r="Q3" s="12" t="str">
        <x:v>Q360-S3-03</x:v>
      </x:c>
      <x:c r="R3" s="12" t="str">
        <x:v>GT-ELIG-002</x:v>
      </x:c>
      <x:c r="S3" s="12" t="str">
        <x:v>OD-003/OD-004</x:v>
      </x:c>
      <x:c r="T3" s="12" t="str">
        <x:v>Exact age thresholds are parameters, not hardcoded</x:v>
      </x:c>
    </x:row>
    <x:row r="4">
      <x:c r="A4" s="12" t="str">
        <x:v>ELIG-003</x:v>
      </x:c>
      <x:c r="B4" s="12" t="str">
        <x:v>Eligibility</x:v>
      </x:c>
      <x:c r="C4" s="12" t="str">
        <x:v>Age</x:v>
      </x:c>
      <x:c r="D4" s="12" t="str">
        <x:v>1</x:v>
      </x:c>
      <x:c r="E4" s="12" t="str">
        <x:v>DRAFT</x:v>
      </x:c>
      <x:c r="F4" s="12" t="str">
        <x:v>All</x:v>
      </x:c>
      <x:c r="G4" s="12" t="str">
        <x:v>Member</x:v>
      </x:c>
      <x:c r="H4" s="12" t="str">
        <x:v>Age below configured minimum</x:v>
      </x:c>
      <x:c r="I4" s="12" t="str">
        <x:v>age &lt; param.MIN_ENTRY_AGE</x:v>
      </x:c>
      <x:c r="J4" s="12" t="str">
        <x:v>MIN_ENTRY_AGE</x:v>
      </x:c>
      <x:c r="K4" s="12" t="str">
        <x:v>HARD_STOP</x:v>
      </x:c>
      <x:c r="L4" s="12" t="str">
        <x:v>ELIG-AGE-MIN</x:v>
      </x:c>
      <x:c r="M4" s="12" t="str">
        <x:v>Member below minimum entry age</x:v>
      </x:c>
      <x:c r="N4" s="12" t="str">
        <x:v>No</x:v>
      </x:c>
      <x:c r="O4" s="12" t="str">
        <x:v>Yes</x:v>
      </x:c>
      <x:c r="P4" s="12" t="str">
        <x:v>S3</x:v>
      </x:c>
      <x:c r="Q4" s="12" t="str">
        <x:v>Q360-S3-03</x:v>
      </x:c>
      <x:c r="R4" s="12" t="str">
        <x:v>GT-ELIG-003</x:v>
      </x:c>
      <x:c r="S4" s="12" t="str">
        <x:v>OD-004</x:v>
      </x:c>
      <x:c r="T4" s="12" t="str">
        <x:v>Threshold unresolved</x:v>
      </x:c>
    </x:row>
    <x:row r="5">
      <x:c r="A5" s="12" t="str">
        <x:v>ELIG-004</x:v>
      </x:c>
      <x:c r="B5" s="12" t="str">
        <x:v>Eligibility</x:v>
      </x:c>
      <x:c r="C5" s="12" t="str">
        <x:v>Age</x:v>
      </x:c>
      <x:c r="D5" s="12" t="str">
        <x:v>1</x:v>
      </x:c>
      <x:c r="E5" s="12" t="str">
        <x:v>DRAFT</x:v>
      </x:c>
      <x:c r="F5" s="12" t="str">
        <x:v>All</x:v>
      </x:c>
      <x:c r="G5" s="12" t="str">
        <x:v>Member</x:v>
      </x:c>
      <x:c r="H5" s="12" t="str">
        <x:v>Age above configured maximum</x:v>
      </x:c>
      <x:c r="I5" s="12" t="str">
        <x:v>age &gt; param.MAX_ENTRY_AGE</x:v>
      </x:c>
      <x:c r="J5" s="12" t="str">
        <x:v>MAX_ENTRY_AGE</x:v>
      </x:c>
      <x:c r="K5" s="12" t="str">
        <x:v>HARD_STOP</x:v>
      </x:c>
      <x:c r="L5" s="12" t="str">
        <x:v>ELIG-AGE-MAX</x:v>
      </x:c>
      <x:c r="M5" s="12" t="str">
        <x:v>Member above maximum entry age</x:v>
      </x:c>
      <x:c r="N5" s="12" t="str">
        <x:v>No</x:v>
      </x:c>
      <x:c r="O5" s="12" t="str">
        <x:v>Yes</x:v>
      </x:c>
      <x:c r="P5" s="12" t="str">
        <x:v>S3</x:v>
      </x:c>
      <x:c r="Q5" s="12" t="str">
        <x:v>Q360-S3-03</x:v>
      </x:c>
      <x:c r="R5" s="12" t="str">
        <x:v>GT-ELIG-004</x:v>
      </x:c>
      <x:c r="S5" s="12" t="str">
        <x:v>OD-004</x:v>
      </x:c>
      <x:c r="T5" s="12" t="str">
        <x:v>Threshold unresolved</x:v>
      </x:c>
    </x:row>
    <x:row r="6">
      <x:c r="A6" s="12" t="str">
        <x:v>ELIG-005</x:v>
      </x:c>
      <x:c r="B6" s="12" t="str">
        <x:v>Eligibility</x:v>
      </x:c>
      <x:c r="C6" s="12" t="str">
        <x:v>Relationship</x:v>
      </x:c>
      <x:c r="D6" s="12" t="str">
        <x:v>1</x:v>
      </x:c>
      <x:c r="E6" s="12" t="str">
        <x:v>DRAFT</x:v>
      </x:c>
      <x:c r="F6" s="12" t="str">
        <x:v>All</x:v>
      </x:c>
      <x:c r="G6" s="12" t="str">
        <x:v>Member</x:v>
      </x:c>
      <x:c r="H6" s="12" t="str">
        <x:v>Relationship not allowed by plan</x:v>
      </x:c>
      <x:c r="I6" s="12" t="str">
        <x:v>relationshipCode NOT IN configured allowed relationships</x:v>
      </x:c>
      <x:c r="J6" s="12" t="str">
        <x:v>ALLOWED_RELATIONSHIPS</x:v>
      </x:c>
      <x:c r="K6" s="12" t="str">
        <x:v>HARD_STOP</x:v>
      </x:c>
      <x:c r="L6" s="12" t="str">
        <x:v>ELIG-RELATIONSHIP</x:v>
      </x:c>
      <x:c r="M6" s="12" t="str">
        <x:v>Relationship not eligible for selected plan</x:v>
      </x:c>
      <x:c r="N6" s="12" t="str">
        <x:v>No</x:v>
      </x:c>
      <x:c r="O6" s="12" t="str">
        <x:v>Yes</x:v>
      </x:c>
      <x:c r="P6" s="12" t="str">
        <x:v>S3</x:v>
      </x:c>
      <x:c r="Q6" s="12" t="str">
        <x:v>Q360-S3-03</x:v>
      </x:c>
      <x:c r="R6" s="12" t="str">
        <x:v>GT-ELIG-005</x:v>
      </x:c>
      <x:c r="S6" s="12" t="str">
        <x:v>OD-004</x:v>
      </x:c>
      <x:c r="T6" s="12" t="str">
        <x:v>Relationship catalogue finalized in ART-011</x:v>
      </x:c>
    </x:row>
    <x:row r="7">
      <x:c r="A7" s="12" t="str">
        <x:v>ELIG-006</x:v>
      </x:c>
      <x:c r="B7" s="12" t="str">
        <x:v>Eligibility</x:v>
      </x:c>
      <x:c r="C7" s="12" t="str">
        <x:v>Effective Date</x:v>
      </x:c>
      <x:c r="D7" s="12" t="str">
        <x:v>1</x:v>
      </x:c>
      <x:c r="E7" s="12" t="str">
        <x:v>PUBLISHED-CANDIDATE</x:v>
      </x:c>
      <x:c r="F7" s="12" t="str">
        <x:v>All</x:v>
      </x:c>
      <x:c r="G7" s="12" t="str">
        <x:v>Quote</x:v>
      </x:c>
      <x:c r="H7" s="12" t="str">
        <x:v>Product version not effective</x:v>
      </x:c>
      <x:c r="I7" s="12" t="str">
        <x:v>effectiveDate &lt; productVersion.effectiveFrom OR effectiveDate &gt; effectiveTo</x:v>
      </x:c>
      <x:c r="J7" s="12" t="str">
        <x:v>—</x:v>
      </x:c>
      <x:c r="K7" s="12" t="str">
        <x:v>HARD_STOP</x:v>
      </x:c>
      <x:c r="L7" s="12" t="str">
        <x:v>ELIG-PRODUCT-DATE</x:v>
      </x:c>
      <x:c r="M7" s="12" t="str">
        <x:v>Product version not effective on quote date</x:v>
      </x:c>
      <x:c r="N7" s="12" t="str">
        <x:v>No</x:v>
      </x:c>
      <x:c r="O7" s="12" t="str">
        <x:v>No</x:v>
      </x:c>
      <x:c r="P7" s="12" t="str">
        <x:v>S3</x:v>
      </x:c>
      <x:c r="Q7" s="12" t="str">
        <x:v>Q360-S3-03</x:v>
      </x:c>
      <x:c r="R7" s="12" t="str">
        <x:v>GT-ELIG-006</x:v>
      </x:c>
      <x:c r="S7" s="12" t="str">
        <x:v>—</x:v>
      </x:c>
      <x:c r="T7" s="12" t="str">
        <x:v>Deterministic version check</x:v>
      </x:c>
    </x:row>
    <x:row r="8">
      <x:c r="A8" s="12" t="str">
        <x:v>ELIG-007</x:v>
      </x:c>
      <x:c r="B8" s="12" t="str">
        <x:v>Eligibility</x:v>
      </x:c>
      <x:c r="C8" s="12" t="str">
        <x:v>Plan</x:v>
      </x:c>
      <x:c r="D8" s="12" t="str">
        <x:v>1</x:v>
      </x:c>
      <x:c r="E8" s="12" t="str">
        <x:v>PUBLISHED-CANDIDATE</x:v>
      </x:c>
      <x:c r="F8" s="12" t="str">
        <x:v>All</x:v>
      </x:c>
      <x:c r="G8" s="12" t="str">
        <x:v>Quote</x:v>
      </x:c>
      <x:c r="H8" s="12" t="str">
        <x:v>Plan inactive</x:v>
      </x:c>
      <x:c r="I8" s="12" t="str">
        <x:v>plan.status != ACTIVE</x:v>
      </x:c>
      <x:c r="J8" s="12" t="str">
        <x:v>—</x:v>
      </x:c>
      <x:c r="K8" s="12" t="str">
        <x:v>HARD_STOP</x:v>
      </x:c>
      <x:c r="L8" s="12" t="str">
        <x:v>ELIG-PLAN-INACTIVE</x:v>
      </x:c>
      <x:c r="M8" s="12" t="str">
        <x:v>Selected plan is inactive</x:v>
      </x:c>
      <x:c r="N8" s="12" t="str">
        <x:v>No</x:v>
      </x:c>
      <x:c r="O8" s="12" t="str">
        <x:v>No</x:v>
      </x:c>
      <x:c r="P8" s="12" t="str">
        <x:v>S3</x:v>
      </x:c>
      <x:c r="Q8" s="12" t="str">
        <x:v>Q360-S3-03</x:v>
      </x:c>
      <x:c r="R8" s="12" t="str">
        <x:v>GT-ELIG-007</x:v>
      </x:c>
      <x:c r="S8" s="12" t="str">
        <x:v>—</x:v>
      </x:c>
      <x:c r="T8" s="12" t="str"/>
    </x:row>
    <x:row r="9">
      <x:c r="A9" s="12" t="str">
        <x:v>ELIG-008</x:v>
      </x:c>
      <x:c r="B9" s="12" t="str">
        <x:v>Eligibility</x:v>
      </x:c>
      <x:c r="C9" s="12" t="str">
        <x:v>Referral</x:v>
      </x:c>
      <x:c r="D9" s="12" t="str">
        <x:v>1</x:v>
      </x:c>
      <x:c r="E9" s="12" t="str">
        <x:v>DRAFT</x:v>
      </x:c>
      <x:c r="F9" s="12" t="str">
        <x:v>All</x:v>
      </x:c>
      <x:c r="G9" s="12" t="str">
        <x:v>Member</x:v>
      </x:c>
      <x:c r="H9" s="12" t="str">
        <x:v>Configured referral condition matched</x:v>
      </x:c>
      <x:c r="I9" s="12" t="str">
        <x:v>matches configured referral criteria</x:v>
      </x:c>
      <x:c r="J9" s="12" t="str">
        <x:v>REFERRAL_CRITERIA</x:v>
      </x:c>
      <x:c r="K9" s="12" t="str">
        <x:v>REFERRAL</x:v>
      </x:c>
      <x:c r="L9" s="12" t="str">
        <x:v>ELIG-REFERRAL</x:v>
      </x:c>
      <x:c r="M9" s="12" t="str">
        <x:v>Manual underwriting review required</x:v>
      </x:c>
      <x:c r="N9" s="12" t="str">
        <x:v>Yes</x:v>
      </x:c>
      <x:c r="O9" s="12" t="str">
        <x:v>Yes</x:v>
      </x:c>
      <x:c r="P9" s="12" t="str">
        <x:v>S3/S7</x:v>
      </x:c>
      <x:c r="Q9" s="12" t="str">
        <x:v>Q360-S3-03;Q360-S7-02</x:v>
      </x:c>
      <x:c r="R9" s="12" t="str">
        <x:v>GT-ELIG-008</x:v>
      </x:c>
      <x:c r="S9" s="12" t="str">
        <x:v>OD-004</x:v>
      </x:c>
      <x:c r="T9" s="12" t="str">
        <x:v>No medical criteria invented in V1</x:v>
      </x:c>
    </x:row>
    <x:row r="10">
      <x:c r="A10" s="12" t="str">
        <x:v>ELIG-009</x:v>
      </x:c>
      <x:c r="B10" s="12" t="str">
        <x:v>Eligibility</x:v>
      </x:c>
      <x:c r="C10" s="12" t="str">
        <x:v>Warning</x:v>
      </x:c>
      <x:c r="D10" s="12" t="str">
        <x:v>1</x:v>
      </x:c>
      <x:c r="E10" s="12" t="str">
        <x:v>DRAFT</x:v>
      </x:c>
      <x:c r="F10" s="12" t="str">
        <x:v>All</x:v>
      </x:c>
      <x:c r="G10" s="12" t="str">
        <x:v>Member</x:v>
      </x:c>
      <x:c r="H10" s="12" t="str">
        <x:v>Configured warning matched</x:v>
      </x:c>
      <x:c r="I10" s="12" t="str">
        <x:v>matches configured warning criteria</x:v>
      </x:c>
      <x:c r="J10" s="12" t="str">
        <x:v>WARNING_CRITERIA</x:v>
      </x:c>
      <x:c r="K10" s="12" t="str">
        <x:v>WARNING</x:v>
      </x:c>
      <x:c r="L10" s="12" t="str">
        <x:v>ELIG-WARNING</x:v>
      </x:c>
      <x:c r="M10" s="12" t="str">
        <x:v>Eligibility warning requires acknowledgement</x:v>
      </x:c>
      <x:c r="N10" s="12" t="str">
        <x:v>No</x:v>
      </x:c>
      <x:c r="O10" s="12" t="str">
        <x:v>Yes</x:v>
      </x:c>
      <x:c r="P10" s="12" t="str">
        <x:v>S3</x:v>
      </x:c>
      <x:c r="Q10" s="12" t="str">
        <x:v>Q360-S3-03</x:v>
      </x:c>
      <x:c r="R10" s="12" t="str">
        <x:v>GT-ELIG-009</x:v>
      </x:c>
      <x:c r="S10" s="12" t="str">
        <x:v>OD-004</x:v>
      </x:c>
      <x:c r="T10" s="12" t="str"/>
    </x:row>
    <x:row r="11">
      <x:c r="A11" s="12" t="str">
        <x:v>ELIG-010</x:v>
      </x:c>
      <x:c r="B11" s="12" t="str">
        <x:v>Eligibility</x:v>
      </x:c>
      <x:c r="C11" s="12" t="str">
        <x:v>Configuration</x:v>
      </x:c>
      <x:c r="D11" s="12" t="str">
        <x:v>1</x:v>
      </x:c>
      <x:c r="E11" s="12" t="str">
        <x:v>PUBLISHED-CANDIDATE</x:v>
      </x:c>
      <x:c r="F11" s="12" t="str">
        <x:v>All</x:v>
      </x:c>
      <x:c r="G11" s="12" t="str">
        <x:v>Quote</x:v>
      </x:c>
      <x:c r="H11" s="12" t="str">
        <x:v>No applicable rule version</x:v>
      </x:c>
      <x:c r="I11" s="12" t="str">
        <x:v>ruleVersion == null</x:v>
      </x:c>
      <x:c r="J11" s="12" t="str">
        <x:v>—</x:v>
      </x:c>
      <x:c r="K11" s="12" t="str">
        <x:v>CONFIG_ERROR</x:v>
      </x:c>
      <x:c r="L11" s="12" t="str">
        <x:v>ELIG-RULE-MISSING</x:v>
      </x:c>
      <x:c r="M11" s="12" t="str">
        <x:v>Eligibility configuration unavailable</x:v>
      </x:c>
      <x:c r="N11" s="12" t="str">
        <x:v>No</x:v>
      </x:c>
      <x:c r="O11" s="12" t="str">
        <x:v>No</x:v>
      </x:c>
      <x:c r="P11" s="12" t="str">
        <x:v>S3</x:v>
      </x:c>
      <x:c r="Q11" s="12" t="str">
        <x:v>Q360-S3-03</x:v>
      </x:c>
      <x:c r="R11" s="12" t="str">
        <x:v>GT-ELIG-010</x:v>
      </x:c>
      <x:c r="S11" s="12" t="str">
        <x:v>—</x:v>
      </x:c>
      <x:c r="T11" s="12" t="str">
        <x:v>Fail closed</x:v>
      </x:c>
    </x:row>
    <x:row r="12">
      <x:c r="A12" s="12" t="str">
        <x:v>PRICE-001</x:v>
      </x:c>
      <x:c r="B12" s="12" t="str">
        <x:v>Pricing</x:v>
      </x:c>
      <x:c r="C12" s="12" t="str">
        <x:v>Configuration</x:v>
      </x:c>
      <x:c r="D12" s="12" t="str">
        <x:v>1</x:v>
      </x:c>
      <x:c r="E12" s="12" t="str">
        <x:v>PUBLISHED-CANDIDATE</x:v>
      </x:c>
      <x:c r="F12" s="12" t="str">
        <x:v>All</x:v>
      </x:c>
      <x:c r="G12" s="12" t="str">
        <x:v>PricingRun</x:v>
      </x:c>
      <x:c r="H12" s="12" t="str">
        <x:v>Rating table missing</x:v>
      </x:c>
      <x:c r="I12" s="12" t="str">
        <x:v>ratingTable == null</x:v>
      </x:c>
      <x:c r="J12" s="12" t="str">
        <x:v>—</x:v>
      </x:c>
      <x:c r="K12" s="12" t="str">
        <x:v>CONFIG_ERROR</x:v>
      </x:c>
      <x:c r="L12" s="12" t="str">
        <x:v>PRICING-CONFIG</x:v>
      </x:c>
      <x:c r="M12" s="12" t="str">
        <x:v>Rating table unavailable</x:v>
      </x:c>
      <x:c r="N12" s="12" t="str">
        <x:v>No</x:v>
      </x:c>
      <x:c r="O12" s="12" t="str">
        <x:v>No</x:v>
      </x:c>
      <x:c r="P12" s="12" t="str">
        <x:v>S4</x:v>
      </x:c>
      <x:c r="Q12" s="12" t="str">
        <x:v>Q360-S4-01</x:v>
      </x:c>
      <x:c r="R12" s="12" t="str">
        <x:v>GT-PRICE-001</x:v>
      </x:c>
      <x:c r="S12" s="12" t="str">
        <x:v>—</x:v>
      </x:c>
      <x:c r="T12" s="12" t="str">
        <x:v>Fail closed</x:v>
      </x:c>
    </x:row>
    <x:row r="13">
      <x:c r="A13" s="12" t="str">
        <x:v>PRICE-002</x:v>
      </x:c>
      <x:c r="B13" s="12" t="str">
        <x:v>Pricing</x:v>
      </x:c>
      <x:c r="C13" s="12" t="str">
        <x:v>Configuration</x:v>
      </x:c>
      <x:c r="D13" s="12" t="str">
        <x:v>1</x:v>
      </x:c>
      <x:c r="E13" s="12" t="str">
        <x:v>PUBLISHED-CANDIDATE</x:v>
      </x:c>
      <x:c r="F13" s="12" t="str">
        <x:v>All</x:v>
      </x:c>
      <x:c r="G13" s="12" t="str">
        <x:v>PricingRun</x:v>
      </x:c>
      <x:c r="H13" s="12" t="str">
        <x:v>Parameter set missing</x:v>
      </x:c>
      <x:c r="I13" s="12" t="str">
        <x:v>parameterSet == null</x:v>
      </x:c>
      <x:c r="J13" s="12" t="str">
        <x:v>—</x:v>
      </x:c>
      <x:c r="K13" s="12" t="str">
        <x:v>CONFIG_ERROR</x:v>
      </x:c>
      <x:c r="L13" s="12" t="str">
        <x:v>PRICING-CONFIG</x:v>
      </x:c>
      <x:c r="M13" s="12" t="str">
        <x:v>Pricing parameters unavailable</x:v>
      </x:c>
      <x:c r="N13" s="12" t="str">
        <x:v>No</x:v>
      </x:c>
      <x:c r="O13" s="12" t="str">
        <x:v>No</x:v>
      </x:c>
      <x:c r="P13" s="12" t="str">
        <x:v>S4</x:v>
      </x:c>
      <x:c r="Q13" s="12" t="str">
        <x:v>Q360-S4-01</x:v>
      </x:c>
      <x:c r="R13" s="12" t="str">
        <x:v>GT-PRICE-002</x:v>
      </x:c>
      <x:c r="S13" s="12" t="str">
        <x:v>—</x:v>
      </x:c>
      <x:c r="T13" s="12" t="str"/>
    </x:row>
    <x:row r="14">
      <x:c r="A14" s="12" t="str">
        <x:v>PRICE-003</x:v>
      </x:c>
      <x:c r="B14" s="12" t="str">
        <x:v>Pricing</x:v>
      </x:c>
      <x:c r="C14" s="12" t="str">
        <x:v>Configuration</x:v>
      </x:c>
      <x:c r="D14" s="12" t="str">
        <x:v>1</x:v>
      </x:c>
      <x:c r="E14" s="12" t="str">
        <x:v>PUBLISHED-CANDIDATE</x:v>
      </x:c>
      <x:c r="F14" s="12" t="str">
        <x:v>All</x:v>
      </x:c>
      <x:c r="G14" s="12" t="str">
        <x:v>PricingRun</x:v>
      </x:c>
      <x:c r="H14" s="12" t="str">
        <x:v>Rule version missing where required</x:v>
      </x:c>
      <x:c r="I14" s="12" t="str">
        <x:v>pricingRuleRequired == true AND ruleVersion == null</x:v>
      </x:c>
      <x:c r="J14" s="12" t="str">
        <x:v>—</x:v>
      </x:c>
      <x:c r="K14" s="12" t="str">
        <x:v>CONFIG_ERROR</x:v>
      </x:c>
      <x:c r="L14" s="12" t="str">
        <x:v>PRICING-CONFIG</x:v>
      </x:c>
      <x:c r="M14" s="12" t="str">
        <x:v>Pricing rule version unavailable</x:v>
      </x:c>
      <x:c r="N14" s="12" t="str">
        <x:v>No</x:v>
      </x:c>
      <x:c r="O14" s="12" t="str">
        <x:v>No</x:v>
      </x:c>
      <x:c r="P14" s="12" t="str">
        <x:v>S5</x:v>
      </x:c>
      <x:c r="Q14" s="12" t="str">
        <x:v>Q360-S5-01</x:v>
      </x:c>
      <x:c r="R14" s="12" t="str">
        <x:v>GT-PRICE-003</x:v>
      </x:c>
      <x:c r="S14" s="12" t="str">
        <x:v>—</x:v>
      </x:c>
      <x:c r="T14" s="12" t="str"/>
    </x:row>
    <x:row r="15">
      <x:c r="A15" s="12" t="str">
        <x:v>PRICE-004</x:v>
      </x:c>
      <x:c r="B15" s="12" t="str">
        <x:v>Pricing</x:v>
      </x:c>
      <x:c r="C15" s="12" t="str">
        <x:v>Base Rate</x:v>
      </x:c>
      <x:c r="D15" s="12" t="str">
        <x:v>1</x:v>
      </x:c>
      <x:c r="E15" s="12" t="str">
        <x:v>DRAFT</x:v>
      </x:c>
      <x:c r="F15" s="12" t="str">
        <x:v>All</x:v>
      </x:c>
      <x:c r="G15" s="12" t="str">
        <x:v>Member</x:v>
      </x:c>
      <x:c r="H15" s="12" t="str">
        <x:v>Resolve base rate</x:v>
      </x:c>
      <x:c r="I15" s="12" t="str">
        <x:v>eligible == true</x:v>
      </x:c>
      <x:c r="J15" s="12" t="str">
        <x:v>BASE_RATE dimensions</x:v>
      </x:c>
      <x:c r="K15" s="12" t="str">
        <x:v>ADD_COMPONENT</x:v>
      </x:c>
      <x:c r="L15" s="12" t="str">
        <x:v>PRICE-BASE</x:v>
      </x:c>
      <x:c r="M15" s="12" t="str">
        <x:v>Base premium component</x:v>
      </x:c>
      <x:c r="N15" s="12" t="str">
        <x:v>No</x:v>
      </x:c>
      <x:c r="O15" s="12" t="str">
        <x:v>Yes</x:v>
      </x:c>
      <x:c r="P15" s="12" t="str">
        <x:v>S4</x:v>
      </x:c>
      <x:c r="Q15" s="12" t="str">
        <x:v>Q360-S4-02</x:v>
      </x:c>
      <x:c r="R15" s="12" t="str">
        <x:v>GT-PRICE-004</x:v>
      </x:c>
      <x:c r="S15" s="12" t="str">
        <x:v>OD-001</x:v>
      </x:c>
      <x:c r="T15" s="12" t="str">
        <x:v>No tariff values in rule</x:v>
      </x:c>
    </x:row>
    <x:row r="16">
      <x:c r="A16" s="12" t="str">
        <x:v>PRICE-005</x:v>
      </x:c>
      <x:c r="B16" s="12" t="str">
        <x:v>Pricing</x:v>
      </x:c>
      <x:c r="C16" s="12" t="str">
        <x:v>Age Factor</x:v>
      </x:c>
      <x:c r="D16" s="12" t="str">
        <x:v>1</x:v>
      </x:c>
      <x:c r="E16" s="12" t="str">
        <x:v>DRAFT</x:v>
      </x:c>
      <x:c r="F16" s="12" t="str">
        <x:v>All</x:v>
      </x:c>
      <x:c r="G16" s="12" t="str">
        <x:v>Member</x:v>
      </x:c>
      <x:c r="H16" s="12" t="str">
        <x:v>Apply age factor</x:v>
      </x:c>
      <x:c r="I16" s="12" t="str">
        <x:v>age band matches rating factor</x:v>
      </x:c>
      <x:c r="J16" s="12" t="str">
        <x:v>AGE_BAND</x:v>
      </x:c>
      <x:c r="K16" s="12" t="str">
        <x:v>MULTIPLY_FACTOR</x:v>
      </x:c>
      <x:c r="L16" s="12" t="str">
        <x:v>PRICE-AGE</x:v>
      </x:c>
      <x:c r="M16" s="12" t="str">
        <x:v>Age factor applied</x:v>
      </x:c>
      <x:c r="N16" s="12" t="str">
        <x:v>No</x:v>
      </x:c>
      <x:c r="O16" s="12" t="str">
        <x:v>Yes</x:v>
      </x:c>
      <x:c r="P16" s="12" t="str">
        <x:v>S4</x:v>
      </x:c>
      <x:c r="Q16" s="12" t="str">
        <x:v>Q360-S4-02</x:v>
      </x:c>
      <x:c r="R16" s="12" t="str">
        <x:v>GT-PRICE-005</x:v>
      </x:c>
      <x:c r="S16" s="12" t="str">
        <x:v>OD-001/OD-004</x:v>
      </x:c>
      <x:c r="T16" s="12" t="str"/>
    </x:row>
    <x:row r="17">
      <x:c r="A17" s="12" t="str">
        <x:v>PRICE-006</x:v>
      </x:c>
      <x:c r="B17" s="12" t="str">
        <x:v>Pricing</x:v>
      </x:c>
      <x:c r="C17" s="12" t="str">
        <x:v>Relationship Factor</x:v>
      </x:c>
      <x:c r="D17" s="12" t="str">
        <x:v>1</x:v>
      </x:c>
      <x:c r="E17" s="12" t="str">
        <x:v>DRAFT</x:v>
      </x:c>
      <x:c r="F17" s="12" t="str">
        <x:v>All</x:v>
      </x:c>
      <x:c r="G17" s="12" t="str">
        <x:v>Member</x:v>
      </x:c>
      <x:c r="H17" s="12" t="str">
        <x:v>Apply relationship factor</x:v>
      </x:c>
      <x:c r="I17" s="12" t="str">
        <x:v>relationshipCode matches rating factor</x:v>
      </x:c>
      <x:c r="J17" s="12" t="str">
        <x:v>RELATIONSHIP_FACTOR</x:v>
      </x:c>
      <x:c r="K17" s="12" t="str">
        <x:v>MULTIPLY_FACTOR</x:v>
      </x:c>
      <x:c r="L17" s="12" t="str">
        <x:v>PRICE-REL</x:v>
      </x:c>
      <x:c r="M17" s="12" t="str">
        <x:v>Relationship factor applied</x:v>
      </x:c>
      <x:c r="N17" s="12" t="str">
        <x:v>No</x:v>
      </x:c>
      <x:c r="O17" s="12" t="str">
        <x:v>Yes</x:v>
      </x:c>
      <x:c r="P17" s="12" t="str">
        <x:v>S4</x:v>
      </x:c>
      <x:c r="Q17" s="12" t="str">
        <x:v>Q360-S4-02</x:v>
      </x:c>
      <x:c r="R17" s="12" t="str">
        <x:v>GT-PRICE-006</x:v>
      </x:c>
      <x:c r="S17" s="12" t="str">
        <x:v>OD-001</x:v>
      </x:c>
      <x:c r="T17" s="12" t="str"/>
    </x:row>
    <x:row r="18">
      <x:c r="A18" s="12" t="str">
        <x:v>PRICE-007</x:v>
      </x:c>
      <x:c r="B18" s="12" t="str">
        <x:v>Pricing</x:v>
      </x:c>
      <x:c r="C18" s="12" t="str">
        <x:v>Plan Factor</x:v>
      </x:c>
      <x:c r="D18" s="12" t="str">
        <x:v>1</x:v>
      </x:c>
      <x:c r="E18" s="12" t="str">
        <x:v>DRAFT</x:v>
      </x:c>
      <x:c r="F18" s="12" t="str">
        <x:v>All</x:v>
      </x:c>
      <x:c r="G18" s="12" t="str">
        <x:v>Member</x:v>
      </x:c>
      <x:c r="H18" s="12" t="str">
        <x:v>Apply plan factor</x:v>
      </x:c>
      <x:c r="I18" s="12" t="str">
        <x:v>plan factor exists</x:v>
      </x:c>
      <x:c r="J18" s="12" t="str">
        <x:v>PLAN_FACTOR</x:v>
      </x:c>
      <x:c r="K18" s="12" t="str">
        <x:v>MULTIPLY_FACTOR</x:v>
      </x:c>
      <x:c r="L18" s="12" t="str">
        <x:v>PRICE-PLAN</x:v>
      </x:c>
      <x:c r="M18" s="12" t="str">
        <x:v>Plan factor applied</x:v>
      </x:c>
      <x:c r="N18" s="12" t="str">
        <x:v>No</x:v>
      </x:c>
      <x:c r="O18" s="12" t="str">
        <x:v>Yes</x:v>
      </x:c>
      <x:c r="P18" s="12" t="str">
        <x:v>S4</x:v>
      </x:c>
      <x:c r="Q18" s="12" t="str">
        <x:v>Q360-S4-02</x:v>
      </x:c>
      <x:c r="R18" s="12" t="str">
        <x:v>GT-PRICE-007</x:v>
      </x:c>
      <x:c r="S18" s="12" t="str">
        <x:v>OD-001</x:v>
      </x:c>
      <x:c r="T18" s="12" t="str"/>
    </x:row>
    <x:row r="19">
      <x:c r="A19" s="12" t="str">
        <x:v>PRICE-008</x:v>
      </x:c>
      <x:c r="B19" s="12" t="str">
        <x:v>Pricing</x:v>
      </x:c>
      <x:c r="C19" s="12" t="str">
        <x:v>Adjustment</x:v>
      </x:c>
      <x:c r="D19" s="12" t="str">
        <x:v>1</x:v>
      </x:c>
      <x:c r="E19" s="12" t="str">
        <x:v>DRAFT</x:v>
      </x:c>
      <x:c r="F19" s="12" t="str">
        <x:v>All</x:v>
      </x:c>
      <x:c r="G19" s="12" t="str">
        <x:v>Quote</x:v>
      </x:c>
      <x:c r="H19" s="12" t="str">
        <x:v>Configured adjustment applies</x:v>
      </x:c>
      <x:c r="I19" s="12" t="str">
        <x:v>adjustment condition matches</x:v>
      </x:c>
      <x:c r="J19" s="12" t="str">
        <x:v>ADJUSTMENT_*</x:v>
      </x:c>
      <x:c r="K19" s="12" t="str">
        <x:v>ADD_ADJUSTMENT</x:v>
      </x:c>
      <x:c r="L19" s="12" t="str">
        <x:v>PRICE-ADJUST</x:v>
      </x:c>
      <x:c r="M19" s="12" t="str">
        <x:v>Configured adjustment applied</x:v>
      </x:c>
      <x:c r="N19" s="12" t="str">
        <x:v>No</x:v>
      </x:c>
      <x:c r="O19" s="12" t="str">
        <x:v>Yes</x:v>
      </x:c>
      <x:c r="P19" s="12" t="str">
        <x:v>S5</x:v>
      </x:c>
      <x:c r="Q19" s="12" t="str">
        <x:v>Q360-S5-01</x:v>
      </x:c>
      <x:c r="R19" s="12" t="str">
        <x:v>GT-PRICE-008</x:v>
      </x:c>
      <x:c r="S19" s="12" t="str">
        <x:v>OD-001</x:v>
      </x:c>
      <x:c r="T19" s="12" t="str">
        <x:v>Commercial values externalized</x:v>
      </x:c>
    </x:row>
    <x:row r="20">
      <x:c r="A20" s="12" t="str">
        <x:v>PRICE-009</x:v>
      </x:c>
      <x:c r="B20" s="12" t="str">
        <x:v>Pricing</x:v>
      </x:c>
      <x:c r="C20" s="12" t="str">
        <x:v>Rounding</x:v>
      </x:c>
      <x:c r="D20" s="12" t="str">
        <x:v>1</x:v>
      </x:c>
      <x:c r="E20" s="12" t="str">
        <x:v>DRAFT</x:v>
      </x:c>
      <x:c r="F20" s="12" t="str">
        <x:v>All</x:v>
      </x:c>
      <x:c r="G20" s="12" t="str">
        <x:v>PricingRun</x:v>
      </x:c>
      <x:c r="H20" s="12" t="str">
        <x:v>Round component</x:v>
      </x:c>
      <x:c r="I20" s="12" t="str">
        <x:v>component requires rounding</x:v>
      </x:c>
      <x:c r="J20" s="12" t="str">
        <x:v>ROUNDING_POLICY</x:v>
      </x:c>
      <x:c r="K20" s="12" t="str">
        <x:v>ROUND</x:v>
      </x:c>
      <x:c r="L20" s="12" t="str">
        <x:v>PRICE-ROUND</x:v>
      </x:c>
      <x:c r="M20" s="12" t="str">
        <x:v>Component rounded using versioned policy</x:v>
      </x:c>
      <x:c r="N20" s="12" t="str">
        <x:v>No</x:v>
      </x:c>
      <x:c r="O20" s="12" t="str">
        <x:v>Yes</x:v>
      </x:c>
      <x:c r="P20" s="12" t="str">
        <x:v>S4/S5</x:v>
      </x:c>
      <x:c r="Q20" s="12" t="str">
        <x:v>Q360-S4-03</x:v>
      </x:c>
      <x:c r="R20" s="12" t="str">
        <x:v>GT-PRICE-009</x:v>
      </x:c>
      <x:c r="S20" s="12" t="str">
        <x:v>OD-002</x:v>
      </x:c>
      <x:c r="T20" s="12" t="str">
        <x:v>No hardcoded scale/mode</x:v>
      </x:c>
    </x:row>
    <x:row r="21">
      <x:c r="A21" s="12" t="str">
        <x:v>PRICE-010</x:v>
      </x:c>
      <x:c r="B21" s="12" t="str">
        <x:v>Pricing</x:v>
      </x:c>
      <x:c r="C21" s="12" t="str">
        <x:v>Reconciliation</x:v>
      </x:c>
      <x:c r="D21" s="12" t="str">
        <x:v>1</x:v>
      </x:c>
      <x:c r="E21" s="12" t="str">
        <x:v>PUBLISHED-CANDIDATE</x:v>
      </x:c>
      <x:c r="F21" s="12" t="str">
        <x:v>All</x:v>
      </x:c>
      <x:c r="G21" s="12" t="str">
        <x:v>PricingRun</x:v>
      </x:c>
      <x:c r="H21" s="12" t="str">
        <x:v>Component total mismatch</x:v>
      </x:c>
      <x:c r="I21" s="12" t="str">
        <x:v>sum(components) != expected total under policy</x:v>
      </x:c>
      <x:c r="J21" s="12" t="str">
        <x:v>ROUNDING_POLICY</x:v>
      </x:c>
      <x:c r="K21" s="12" t="str">
        <x:v>CONFIG_ERROR</x:v>
      </x:c>
      <x:c r="L21" s="12" t="str">
        <x:v>PRICE-RECON</x:v>
      </x:c>
      <x:c r="M21" s="12" t="str">
        <x:v>Pricing components do not reconcile</x:v>
      </x:c>
      <x:c r="N21" s="12" t="str">
        <x:v>No</x:v>
      </x:c>
      <x:c r="O21" s="12" t="str">
        <x:v>No</x:v>
      </x:c>
      <x:c r="P21" s="12" t="str">
        <x:v>S5</x:v>
      </x:c>
      <x:c r="Q21" s="12" t="str">
        <x:v>Q360-S5-03</x:v>
      </x:c>
      <x:c r="R21" s="12" t="str">
        <x:v>GT-PRICE-010</x:v>
      </x:c>
      <x:c r="S21" s="12" t="str">
        <x:v>OD-002</x:v>
      </x:c>
      <x:c r="T21" s="12" t="str"/>
    </x:row>
    <x:row r="22">
      <x:c r="A22" s="12" t="str">
        <x:v>PRICE-011</x:v>
      </x:c>
      <x:c r="B22" s="12" t="str">
        <x:v>Pricing</x:v>
      </x:c>
      <x:c r="C22" s="12" t="str">
        <x:v>Currency</x:v>
      </x:c>
      <x:c r="D22" s="12" t="str">
        <x:v>1</x:v>
      </x:c>
      <x:c r="E22" s="12" t="str">
        <x:v>PUBLISHED-CANDIDATE</x:v>
      </x:c>
      <x:c r="F22" s="12" t="str">
        <x:v>All</x:v>
      </x:c>
      <x:c r="G22" s="12" t="str">
        <x:v>PricingRun</x:v>
      </x:c>
      <x:c r="H22" s="12" t="str">
        <x:v>Currency invalid</x:v>
      </x:c>
      <x:c r="I22" s="12" t="str">
        <x:v>currencyCode not ISO-like 3 uppercase chars</x:v>
      </x:c>
      <x:c r="J22" s="12" t="str">
        <x:v>—</x:v>
      </x:c>
      <x:c r="K22" s="12" t="str">
        <x:v>HARD_STOP</x:v>
      </x:c>
      <x:c r="L22" s="12" t="str">
        <x:v>VALIDATION-400</x:v>
      </x:c>
      <x:c r="M22" s="12" t="str">
        <x:v>Invalid currency code</x:v>
      </x:c>
      <x:c r="N22" s="12" t="str">
        <x:v>No</x:v>
      </x:c>
      <x:c r="O22" s="12" t="str">
        <x:v>No</x:v>
      </x:c>
      <x:c r="P22" s="12" t="str">
        <x:v>S4</x:v>
      </x:c>
      <x:c r="Q22" s="12" t="str">
        <x:v>Q360-S4-03</x:v>
      </x:c>
      <x:c r="R22" s="12" t="str">
        <x:v>GT-PRICE-011</x:v>
      </x:c>
      <x:c r="S22" s="12" t="str">
        <x:v>OD-002</x:v>
      </x:c>
      <x:c r="T22" s="12" t="str">
        <x:v>Official currency still open</x:v>
      </x:c>
    </x:row>
    <x:row r="23">
      <x:c r="A23" s="12" t="str">
        <x:v>PRICE-012</x:v>
      </x:c>
      <x:c r="B23" s="12" t="str">
        <x:v>Pricing</x:v>
      </x:c>
      <x:c r="C23" s="12" t="str">
        <x:v>Determinism</x:v>
      </x:c>
      <x:c r="D23" s="12" t="str">
        <x:v>1</x:v>
      </x:c>
      <x:c r="E23" s="12" t="str">
        <x:v>PUBLISHED-CANDIDATE</x:v>
      </x:c>
      <x:c r="F23" s="12" t="str">
        <x:v>All</x:v>
      </x:c>
      <x:c r="G23" s="12" t="str">
        <x:v>PricingRun</x:v>
      </x:c>
      <x:c r="H23" s="12" t="str">
        <x:v>Replay differs</x:v>
      </x:c>
      <x:c r="I23" s="12" t="str">
        <x:v>same input+versions produces different result</x:v>
      </x:c>
      <x:c r="J23" s="12" t="str">
        <x:v>—</x:v>
      </x:c>
      <x:c r="K23" s="12" t="str">
        <x:v>CONFIG_ERROR</x:v>
      </x:c>
      <x:c r="L23" s="12" t="str">
        <x:v>PRICING-NONDETERMINISTIC</x:v>
      </x:c>
      <x:c r="M23" s="12" t="str">
        <x:v>Deterministic replay failed</x:v>
      </x:c>
      <x:c r="N23" s="12" t="str">
        <x:v>No</x:v>
      </x:c>
      <x:c r="O23" s="12" t="str">
        <x:v>No</x:v>
      </x:c>
      <x:c r="P23" s="12" t="str">
        <x:v>S11</x:v>
      </x:c>
      <x:c r="Q23" s="12" t="str">
        <x:v>Q360-S11-01</x:v>
      </x:c>
      <x:c r="R23" s="12" t="str">
        <x:v>GT-PRICE-012</x:v>
      </x:c>
      <x:c r="S23" s="12" t="str">
        <x:v>—</x:v>
      </x:c>
      <x:c r="T23" s="12" t="str">
        <x:v>Release blocker</x:v>
      </x:c>
    </x:row>
    <x:row r="24">
      <x:c r="A24" s="12" t="str">
        <x:v>VAL-001</x:v>
      </x:c>
      <x:c r="B24" s="12" t="str">
        <x:v>Validation</x:v>
      </x:c>
      <x:c r="C24" s="12" t="str">
        <x:v>Quote</x:v>
      </x:c>
      <x:c r="D24" s="12" t="str">
        <x:v>1</x:v>
      </x:c>
      <x:c r="E24" s="12" t="str">
        <x:v>PUBLISHED-CANDIDATE</x:v>
      </x:c>
      <x:c r="F24" s="12" t="str">
        <x:v>All</x:v>
      </x:c>
      <x:c r="G24" s="12" t="str">
        <x:v>Quote</x:v>
      </x:c>
      <x:c r="H24" s="12" t="str">
        <x:v>No members</x:v>
      </x:c>
      <x:c r="I24" s="12" t="str">
        <x:v>includedMemberCount == 0</x:v>
      </x:c>
      <x:c r="J24" s="12" t="str">
        <x:v>—</x:v>
      </x:c>
      <x:c r="K24" s="12" t="str">
        <x:v>HARD_STOP</x:v>
      </x:c>
      <x:c r="L24" s="12" t="str">
        <x:v>QUOTE-NO-MEMBERS</x:v>
      </x:c>
      <x:c r="M24" s="12" t="str">
        <x:v>Quote must contain at least one included member</x:v>
      </x:c>
      <x:c r="N24" s="12" t="str">
        <x:v>No</x:v>
      </x:c>
      <x:c r="O24" s="12" t="str">
        <x:v>No</x:v>
      </x:c>
      <x:c r="P24" s="12" t="str">
        <x:v>S6</x:v>
      </x:c>
      <x:c r="Q24" s="12" t="str">
        <x:v>Q360-S6-02</x:v>
      </x:c>
      <x:c r="R24" s="12" t="str">
        <x:v>GT-VAL-001</x:v>
      </x:c>
      <x:c r="S24" s="12" t="str">
        <x:v>—</x:v>
      </x:c>
      <x:c r="T24" s="12" t="str"/>
    </x:row>
    <x:row r="25">
      <x:c r="A25" s="12" t="str">
        <x:v>VAL-002</x:v>
      </x:c>
      <x:c r="B25" s="12" t="str">
        <x:v>Validation</x:v>
      </x:c>
      <x:c r="C25" s="12" t="str">
        <x:v>Quote</x:v>
      </x:c>
      <x:c r="D25" s="12" t="str">
        <x:v>1</x:v>
      </x:c>
      <x:c r="E25" s="12" t="str">
        <x:v>PUBLISHED-CANDIDATE</x:v>
      </x:c>
      <x:c r="F25" s="12" t="str">
        <x:v>All</x:v>
      </x:c>
      <x:c r="G25" s="12" t="str">
        <x:v>Quote</x:v>
      </x:c>
      <x:c r="H25" s="12" t="str">
        <x:v>Pricing absent</x:v>
      </x:c>
      <x:c r="I25" s="12" t="str">
        <x:v>latestPricingRun == null OR status != CALCULATED</x:v>
      </x:c>
      <x:c r="J25" s="12" t="str">
        <x:v>—</x:v>
      </x:c>
      <x:c r="K25" s="12" t="str">
        <x:v>HARD_STOP</x:v>
      </x:c>
      <x:c r="L25" s="12" t="str">
        <x:v>QUOTE-NOT-PRICED</x:v>
      </x:c>
      <x:c r="M25" s="12" t="str">
        <x:v>Quote requires valid pricing</x:v>
      </x:c>
      <x:c r="N25" s="12" t="str">
        <x:v>No</x:v>
      </x:c>
      <x:c r="O25" s="12" t="str">
        <x:v>No</x:v>
      </x:c>
      <x:c r="P25" s="12" t="str">
        <x:v>S6/S7</x:v>
      </x:c>
      <x:c r="Q25" s="12" t="str">
        <x:v>Q360-S6-03;Q360-S7-01</x:v>
      </x:c>
      <x:c r="R25" s="12" t="str">
        <x:v>GT-VAL-002</x:v>
      </x:c>
      <x:c r="S25" s="12" t="str">
        <x:v>—</x:v>
      </x:c>
      <x:c r="T25" s="12" t="str"/>
    </x:row>
    <x:row r="26">
      <x:c r="A26" s="12" t="str">
        <x:v>VAL-003</x:v>
      </x:c>
      <x:c r="B26" s="12" t="str">
        <x:v>Validation</x:v>
      </x:c>
      <x:c r="C26" s="12" t="str">
        <x:v>Snapshot</x:v>
      </x:c>
      <x:c r="D26" s="12" t="str">
        <x:v>1</x:v>
      </x:c>
      <x:c r="E26" s="12" t="str">
        <x:v>PUBLISHED-CANDIDATE</x:v>
      </x:c>
      <x:c r="F26" s="12" t="str">
        <x:v>All</x:v>
      </x:c>
      <x:c r="G26" s="12" t="str">
        <x:v>Quote</x:v>
      </x:c>
      <x:c r="H26" s="12" t="str">
        <x:v>Submission snapshot absent</x:v>
      </x:c>
      <x:c r="I26" s="12" t="str">
        <x:v>submission requested AND snapshot cannot be created</x:v>
      </x:c>
      <x:c r="J26" s="12" t="str">
        <x:v>—</x:v>
      </x:c>
      <x:c r="K26" s="12" t="str">
        <x:v>HARD_STOP</x:v>
      </x:c>
      <x:c r="L26" s="12" t="str">
        <x:v>QUOTE-SNAPSHOT</x:v>
      </x:c>
      <x:c r="M26" s="12" t="str">
        <x:v>Submission snapshot required</x:v>
      </x:c>
      <x:c r="N26" s="12" t="str">
        <x:v>No</x:v>
      </x:c>
      <x:c r="O26" s="12" t="str">
        <x:v>No</x:v>
      </x:c>
      <x:c r="P26" s="12" t="str">
        <x:v>S7</x:v>
      </x:c>
      <x:c r="Q26" s="12" t="str">
        <x:v>Q360-S7-01</x:v>
      </x:c>
      <x:c r="R26" s="12" t="str">
        <x:v>GT-VAL-003</x:v>
      </x:c>
      <x:c r="S26" s="12" t="str">
        <x:v>—</x:v>
      </x:c>
      <x:c r="T26" s="12" t="str"/>
    </x:row>
    <x:row r="27">
      <x:c r="A27" s="12" t="str">
        <x:v>VAL-004</x:v>
      </x:c>
      <x:c r="B27" s="12" t="str">
        <x:v>Validation</x:v>
      </x:c>
      <x:c r="C27" s="12" t="str">
        <x:v>Version</x:v>
      </x:c>
      <x:c r="D27" s="12" t="str">
        <x:v>1</x:v>
      </x:c>
      <x:c r="E27" s="12" t="str">
        <x:v>PUBLISHED-CANDIDATE</x:v>
      </x:c>
      <x:c r="F27" s="12" t="str">
        <x:v>All</x:v>
      </x:c>
      <x:c r="G27" s="12" t="str">
        <x:v>Command</x:v>
      </x:c>
      <x:c r="H27" s="12" t="str">
        <x:v>Optimistic version mismatch</x:v>
      </x:c>
      <x:c r="I27" s="12" t="str">
        <x:v>request.rowVersion != persisted.rowVersion</x:v>
      </x:c>
      <x:c r="J27" s="12" t="str">
        <x:v>—</x:v>
      </x:c>
      <x:c r="K27" s="12" t="str">
        <x:v>HARD_STOP</x:v>
      </x:c>
      <x:c r="L27" s="12" t="str">
        <x:v>VERSION-CONFLICT</x:v>
      </x:c>
      <x:c r="M27" s="12" t="str">
        <x:v>Resource was modified by another actor</x:v>
      </x:c>
      <x:c r="N27" s="12" t="str">
        <x:v>No</x:v>
      </x:c>
      <x:c r="O27" s="12" t="str">
        <x:v>No</x:v>
      </x:c>
      <x:c r="P27" s="12" t="str">
        <x:v>S1/S6</x:v>
      </x:c>
      <x:c r="Q27" s="12" t="str">
        <x:v>Q360-S1-05;Q360-S6-01</x:v>
      </x:c>
      <x:c r="R27" s="12" t="str">
        <x:v>GT-VAL-004</x:v>
      </x:c>
      <x:c r="S27" s="12" t="str">
        <x:v>—</x:v>
      </x:c>
      <x:c r="T27" s="12" t="str">
        <x:v>HTTP 409 in ART-006</x:v>
      </x:c>
    </x:row>
    <x:row r="28">
      <x:c r="A28" s="12" t="str">
        <x:v>VAL-005</x:v>
      </x:c>
      <x:c r="B28" s="12" t="str">
        <x:v>Validation</x:v>
      </x:c>
      <x:c r="C28" s="12" t="str">
        <x:v>Tenant</x:v>
      </x:c>
      <x:c r="D28" s="12" t="str">
        <x:v>1</x:v>
      </x:c>
      <x:c r="E28" s="12" t="str">
        <x:v>PUBLISHED-CANDIDATE</x:v>
      </x:c>
      <x:c r="F28" s="12" t="str">
        <x:v>All</x:v>
      </x:c>
      <x:c r="G28" s="12" t="str">
        <x:v>Command</x:v>
      </x:c>
      <x:c r="H28" s="12" t="str">
        <x:v>Cross-tenant reference detected</x:v>
      </x:c>
      <x:c r="I28" s="12" t="str">
        <x:v>referenced.tenantId != actor.tenantId</x:v>
      </x:c>
      <x:c r="J28" s="12" t="str">
        <x:v>—</x:v>
      </x:c>
      <x:c r="K28" s="12" t="str">
        <x:v>HARD_STOP</x:v>
      </x:c>
      <x:c r="L28" s="12" t="str">
        <x:v>SEC-403</x:v>
      </x:c>
      <x:c r="M28" s="12" t="str">
        <x:v>Cross-tenant access prohibited</x:v>
      </x:c>
      <x:c r="N28" s="12" t="str">
        <x:v>No</x:v>
      </x:c>
      <x:c r="O28" s="12" t="str">
        <x:v>No</x:v>
      </x:c>
      <x:c r="P28" s="12" t="str">
        <x:v>S1</x:v>
      </x:c>
      <x:c r="Q28" s="12" t="str">
        <x:v>Q360-S1-04</x:v>
      </x:c>
      <x:c r="R28" s="12" t="str">
        <x:v>GT-VAL-005</x:v>
      </x:c>
      <x:c r="S28" s="12" t="str">
        <x:v>—</x:v>
      </x:c>
      <x:c r="T28" s="12" t="str">
        <x:v>Security rule, may live outside Drools</x:v>
      </x:c>
    </x:row>
    <x:row r="29">
      <x:c r="A29" s="12" t="str">
        <x:v>WF-001</x:v>
      </x:c>
      <x:c r="B29" s="12" t="str">
        <x:v>Workflow</x:v>
      </x:c>
      <x:c r="C29" s="12" t="str">
        <x:v>Submission</x:v>
      </x:c>
      <x:c r="D29" s="12" t="str">
        <x:v>1</x:v>
      </x:c>
      <x:c r="E29" s="12" t="str">
        <x:v>PUBLISHED-CANDIDATE</x:v>
      </x:c>
      <x:c r="F29" s="12" t="str">
        <x:v>All</x:v>
      </x:c>
      <x:c r="G29" s="12" t="str">
        <x:v>Quote</x:v>
      </x:c>
      <x:c r="H29" s="12" t="str">
        <x:v>Submit from READY</x:v>
      </x:c>
      <x:c r="I29" s="12" t="str">
        <x:v>quote.status == READY AND prerequisites valid</x:v>
      </x:c>
      <x:c r="J29" s="12" t="str">
        <x:v>—</x:v>
      </x:c>
      <x:c r="K29" s="12" t="str">
        <x:v>TRANSITION</x:v>
      </x:c>
      <x:c r="L29" s="12" t="str">
        <x:v>QUOTE.SUBMITTED</x:v>
      </x:c>
      <x:c r="M29" s="12" t="str">
        <x:v>READY -&gt; IN_REVIEW</x:v>
      </x:c>
      <x:c r="N29" s="12" t="str">
        <x:v>Yes</x:v>
      </x:c>
      <x:c r="O29" s="12" t="str">
        <x:v>No</x:v>
      </x:c>
      <x:c r="P29" s="12" t="str">
        <x:v>S7</x:v>
      </x:c>
      <x:c r="Q29" s="12" t="str">
        <x:v>Q360-S7-01</x:v>
      </x:c>
      <x:c r="R29" s="12" t="str">
        <x:v>GT-WF-001</x:v>
      </x:c>
      <x:c r="S29" s="12" t="str">
        <x:v>—</x:v>
      </x:c>
      <x:c r="T29" s="12" t="str">
        <x:v>ART-009 final authority</x:v>
      </x:c>
    </x:row>
    <x:row r="30">
      <x:c r="A30" s="12" t="str">
        <x:v>WF-002</x:v>
      </x:c>
      <x:c r="B30" s="12" t="str">
        <x:v>Workflow</x:v>
      </x:c>
      <x:c r="C30" s="12" t="str">
        <x:v>Submission</x:v>
      </x:c>
      <x:c r="D30" s="12" t="str">
        <x:v>1</x:v>
      </x:c>
      <x:c r="E30" s="12" t="str">
        <x:v>PUBLISHED-CANDIDATE</x:v>
      </x:c>
      <x:c r="F30" s="12" t="str">
        <x:v>All</x:v>
      </x:c>
      <x:c r="G30" s="12" t="str">
        <x:v>Quote</x:v>
      </x:c>
      <x:c r="H30" s="12" t="str">
        <x:v>Submit from invalid state</x:v>
      </x:c>
      <x:c r="I30" s="12" t="str">
        <x:v>quote.status != READY</x:v>
      </x:c>
      <x:c r="J30" s="12" t="str">
        <x:v>—</x:v>
      </x:c>
      <x:c r="K30" s="12" t="str">
        <x:v>HARD_STOP</x:v>
      </x:c>
      <x:c r="L30" s="12" t="str">
        <x:v>QUOTE-STATE</x:v>
      </x:c>
      <x:c r="M30" s="12" t="str">
        <x:v>Quote cannot be submitted from current state</x:v>
      </x:c>
      <x:c r="N30" s="12" t="str">
        <x:v>No</x:v>
      </x:c>
      <x:c r="O30" s="12" t="str">
        <x:v>No</x:v>
      </x:c>
      <x:c r="P30" s="12" t="str">
        <x:v>S7</x:v>
      </x:c>
      <x:c r="Q30" s="12" t="str">
        <x:v>Q360-S7-01</x:v>
      </x:c>
      <x:c r="R30" s="12" t="str">
        <x:v>GT-WF-002</x:v>
      </x:c>
      <x:c r="S30" s="12" t="str">
        <x:v>—</x:v>
      </x:c>
      <x:c r="T30" s="12" t="str"/>
    </x:row>
    <x:row r="31">
      <x:c r="A31" s="12" t="str">
        <x:v>WF-003</x:v>
      </x:c>
      <x:c r="B31" s="12" t="str">
        <x:v>Workflow</x:v>
      </x:c>
      <x:c r="C31" s="12" t="str">
        <x:v>Four Eyes</x:v>
      </x:c>
      <x:c r="D31" s="12" t="str">
        <x:v>1</x:v>
      </x:c>
      <x:c r="E31" s="12" t="str">
        <x:v>PUBLISHED-CANDIDATE</x:v>
      </x:c>
      <x:c r="F31" s="12" t="str">
        <x:v>All</x:v>
      </x:c>
      <x:c r="G31" s="12" t="str">
        <x:v>Decision</x:v>
      </x:c>
      <x:c r="H31" s="12" t="str">
        <x:v>Self approval attempted</x:v>
      </x:c>
      <x:c r="I31" s="12" t="str">
        <x:v>decision == APPROVE AND submittedBy == decidedBy</x:v>
      </x:c>
      <x:c r="J31" s="12" t="str">
        <x:v>—</x:v>
      </x:c>
      <x:c r="K31" s="12" t="str">
        <x:v>HARD_STOP</x:v>
      </x:c>
      <x:c r="L31" s="12" t="str">
        <x:v>SEC-403</x:v>
      </x:c>
      <x:c r="M31" s="12" t="str">
        <x:v>Self-approval prohibited</x:v>
      </x:c>
      <x:c r="N31" s="12" t="str">
        <x:v>No</x:v>
      </x:c>
      <x:c r="O31" s="12" t="str">
        <x:v>No</x:v>
      </x:c>
      <x:c r="P31" s="12" t="str">
        <x:v>S7</x:v>
      </x:c>
      <x:c r="Q31" s="12" t="str">
        <x:v>Q360-S7-03</x:v>
      </x:c>
      <x:c r="R31" s="12" t="str">
        <x:v>GT-WF-003</x:v>
      </x:c>
      <x:c r="S31" s="12" t="str">
        <x:v>—</x:v>
      </x:c>
      <x:c r="T31" s="12" t="str">
        <x:v>Non-negotiable</x:v>
      </x:c>
    </x:row>
    <x:row r="32">
      <x:c r="A32" s="12" t="str">
        <x:v>WF-004</x:v>
      </x:c>
      <x:c r="B32" s="12" t="str">
        <x:v>Workflow</x:v>
      </x:c>
      <x:c r="C32" s="12" t="str">
        <x:v>Authority</x:v>
      </x:c>
      <x:c r="D32" s="12" t="str">
        <x:v>1</x:v>
      </x:c>
      <x:c r="E32" s="12" t="str">
        <x:v>DRAFT</x:v>
      </x:c>
      <x:c r="F32" s="12" t="str">
        <x:v>All</x:v>
      </x:c>
      <x:c r="G32" s="12" t="str">
        <x:v>Decision</x:v>
      </x:c>
      <x:c r="H32" s="12" t="str">
        <x:v>Approver outside authority</x:v>
      </x:c>
      <x:c r="I32" s="12" t="str">
        <x:v>decision == APPROVE AND authority policy does not authorize</x:v>
      </x:c>
      <x:c r="J32" s="12" t="str">
        <x:v>AUTHORITY_POLICY</x:v>
      </x:c>
      <x:c r="K32" s="12" t="str">
        <x:v>HARD_STOP</x:v>
      </x:c>
      <x:c r="L32" s="12" t="str">
        <x:v>AUTHORITY-EXCEEDED</x:v>
      </x:c>
      <x:c r="M32" s="12" t="str">
        <x:v>Approval authority insufficient</x:v>
      </x:c>
      <x:c r="N32" s="12" t="str">
        <x:v>No</x:v>
      </x:c>
      <x:c r="O32" s="12" t="str">
        <x:v>Yes</x:v>
      </x:c>
      <x:c r="P32" s="12" t="str">
        <x:v>S7</x:v>
      </x:c>
      <x:c r="Q32" s="12" t="str">
        <x:v>Q360-S7-03</x:v>
      </x:c>
      <x:c r="R32" s="12" t="str">
        <x:v>GT-WF-004</x:v>
      </x:c>
      <x:c r="S32" s="12" t="str">
        <x:v>OD-005</x:v>
      </x:c>
      <x:c r="T32" s="12" t="str">
        <x:v>No limits invented</x:v>
      </x:c>
    </x:row>
    <x:row r="33">
      <x:c r="A33" s="12" t="str">
        <x:v>WF-005</x:v>
      </x:c>
      <x:c r="B33" s="12" t="str">
        <x:v>Workflow</x:v>
      </x:c>
      <x:c r="C33" s="12" t="str">
        <x:v>Decision</x:v>
      </x:c>
      <x:c r="D33" s="12" t="str">
        <x:v>1</x:v>
      </x:c>
      <x:c r="E33" s="12" t="str">
        <x:v>PUBLISHED-CANDIDATE</x:v>
      </x:c>
      <x:c r="F33" s="12" t="str">
        <x:v>All</x:v>
      </x:c>
      <x:c r="G33" s="12" t="str">
        <x:v>Decision</x:v>
      </x:c>
      <x:c r="H33" s="12" t="str">
        <x:v>Approve valid review</x:v>
      </x:c>
      <x:c r="I33" s="12" t="str">
        <x:v>quote.status == IN_REVIEW AND fourEyesOk AND authorityOk</x:v>
      </x:c>
      <x:c r="J33" s="12" t="str">
        <x:v>—</x:v>
      </x:c>
      <x:c r="K33" s="12" t="str">
        <x:v>TRANSITION</x:v>
      </x:c>
      <x:c r="L33" s="12" t="str">
        <x:v>QUOTE.APPROVED</x:v>
      </x:c>
      <x:c r="M33" s="12" t="str">
        <x:v>IN_REVIEW -&gt; APPROVED</x:v>
      </x:c>
      <x:c r="N33" s="12" t="str">
        <x:v>Yes</x:v>
      </x:c>
      <x:c r="O33" s="12" t="str">
        <x:v>No</x:v>
      </x:c>
      <x:c r="P33" s="12" t="str">
        <x:v>S7</x:v>
      </x:c>
      <x:c r="Q33" s="12" t="str">
        <x:v>Q360-S7-03</x:v>
      </x:c>
      <x:c r="R33" s="12" t="str">
        <x:v>GT-WF-005</x:v>
      </x:c>
      <x:c r="S33" s="12" t="str">
        <x:v>OD-005</x:v>
      </x:c>
      <x:c r="T33" s="12" t="str"/>
    </x:row>
    <x:row r="34">
      <x:c r="A34" s="12" t="str">
        <x:v>WF-006</x:v>
      </x:c>
      <x:c r="B34" s="12" t="str">
        <x:v>Workflow</x:v>
      </x:c>
      <x:c r="C34" s="12" t="str">
        <x:v>Decision</x:v>
      </x:c>
      <x:c r="D34" s="12" t="str">
        <x:v>1</x:v>
      </x:c>
      <x:c r="E34" s="12" t="str">
        <x:v>PUBLISHED-CANDIDATE</x:v>
      </x:c>
      <x:c r="F34" s="12" t="str">
        <x:v>All</x:v>
      </x:c>
      <x:c r="G34" s="12" t="str">
        <x:v>Decision</x:v>
      </x:c>
      <x:c r="H34" s="12" t="str">
        <x:v>Reject valid review</x:v>
      </x:c>
      <x:c r="I34" s="12" t="str">
        <x:v>quote.status == IN_REVIEW AND reasonCode present</x:v>
      </x:c>
      <x:c r="J34" s="12" t="str">
        <x:v>—</x:v>
      </x:c>
      <x:c r="K34" s="12" t="str">
        <x:v>TRANSITION</x:v>
      </x:c>
      <x:c r="L34" s="12" t="str">
        <x:v>QUOTE.REJECTED</x:v>
      </x:c>
      <x:c r="M34" s="12" t="str">
        <x:v>IN_REVIEW -&gt; REJECTED</x:v>
      </x:c>
      <x:c r="N34" s="12" t="str">
        <x:v>Yes</x:v>
      </x:c>
      <x:c r="O34" s="12" t="str">
        <x:v>No</x:v>
      </x:c>
      <x:c r="P34" s="12" t="str">
        <x:v>S7</x:v>
      </x:c>
      <x:c r="Q34" s="12" t="str">
        <x:v>Q360-S7-03</x:v>
      </x:c>
      <x:c r="R34" s="12" t="str">
        <x:v>GT-WF-006</x:v>
      </x:c>
      <x:c r="S34" s="12" t="str">
        <x:v>—</x:v>
      </x:c>
      <x:c r="T34" s="12" t="str"/>
    </x:row>
    <x:row r="35">
      <x:c r="A35" s="12" t="str">
        <x:v>WF-007</x:v>
      </x:c>
      <x:c r="B35" s="12" t="str">
        <x:v>Workflow</x:v>
      </x:c>
      <x:c r="C35" s="12" t="str">
        <x:v>Decision</x:v>
      </x:c>
      <x:c r="D35" s="12" t="str">
        <x:v>1</x:v>
      </x:c>
      <x:c r="E35" s="12" t="str">
        <x:v>PUBLISHED-CANDIDATE</x:v>
      </x:c>
      <x:c r="F35" s="12" t="str">
        <x:v>All</x:v>
      </x:c>
      <x:c r="G35" s="12" t="str">
        <x:v>Decision</x:v>
      </x:c>
      <x:c r="H35" s="12" t="str">
        <x:v>Return review</x:v>
      </x:c>
      <x:c r="I35" s="12" t="str">
        <x:v>quote.status == IN_REVIEW AND reasonCode present</x:v>
      </x:c>
      <x:c r="J35" s="12" t="str">
        <x:v>—</x:v>
      </x:c>
      <x:c r="K35" s="12" t="str">
        <x:v>TRANSITION</x:v>
      </x:c>
      <x:c r="L35" s="12" t="str">
        <x:v>QUOTE.RETURNED</x:v>
      </x:c>
      <x:c r="M35" s="12" t="str">
        <x:v>IN_REVIEW -&gt; READY</x:v>
      </x:c>
      <x:c r="N35" s="12" t="str">
        <x:v>Yes</x:v>
      </x:c>
      <x:c r="O35" s="12" t="str">
        <x:v>No</x:v>
      </x:c>
      <x:c r="P35" s="12" t="str">
        <x:v>S7</x:v>
      </x:c>
      <x:c r="Q35" s="12" t="str">
        <x:v>Q360-S7-03</x:v>
      </x:c>
      <x:c r="R35" s="12" t="str">
        <x:v>GT-WF-007</x:v>
      </x:c>
      <x:c r="S35" s="12" t="str">
        <x:v>—</x:v>
      </x:c>
      <x:c r="T35" s="12" t="str"/>
    </x:row>
    <x:row r="36">
      <x:c r="A36" s="12" t="str">
        <x:v>WF-008</x:v>
      </x:c>
      <x:c r="B36" s="12" t="str">
        <x:v>Workflow</x:v>
      </x:c>
      <x:c r="C36" s="12" t="str">
        <x:v>Documents</x:v>
      </x:c>
      <x:c r="D36" s="12" t="str">
        <x:v>1</x:v>
      </x:c>
      <x:c r="E36" s="12" t="str">
        <x:v>PUBLISHED-CANDIDATE</x:v>
      </x:c>
      <x:c r="F36" s="12" t="str">
        <x:v>All</x:v>
      </x:c>
      <x:c r="G36" s="12" t="str">
        <x:v>Document</x:v>
      </x:c>
      <x:c r="H36" s="12" t="str">
        <x:v>Generate proposal only from authorized snapshot</x:v>
      </x:c>
      <x:c r="I36" s="12" t="str">
        <x:v>quote.status == APPROVED AND approvalSnapshot exists</x:v>
      </x:c>
      <x:c r="J36" s="12" t="str">
        <x:v>TEMPLATE_VERSION</x:v>
      </x:c>
      <x:c r="K36" s="12" t="str">
        <x:v>ALLOW</x:v>
      </x:c>
      <x:c r="L36" s="12" t="str">
        <x:v>DOCUMENT.GENERATION.REQUESTED</x:v>
      </x:c>
      <x:c r="M36" s="12" t="str">
        <x:v>Proposal generation allowed</x:v>
      </x:c>
      <x:c r="N36" s="12" t="str">
        <x:v>Yes</x:v>
      </x:c>
      <x:c r="O36" s="12" t="str">
        <x:v>Yes</x:v>
      </x:c>
      <x:c r="P36" s="12" t="str">
        <x:v>S8</x:v>
      </x:c>
      <x:c r="Q36" s="12" t="str">
        <x:v>Q360-S8-01</x:v>
      </x:c>
      <x:c r="R36" s="12" t="str">
        <x:v>GT-WF-008</x:v>
      </x:c>
      <x:c r="S36" s="12" t="str">
        <x:v>OD-006</x:v>
      </x:c>
      <x:c r="T36" s="12" t="str">
        <x:v>Template itself unresolved</x:v>
      </x:c>
    </x:row>
    <x:row r="37">
      <x:c r="A37" s="12" t="str">
        <x:v>WF-009</x:v>
      </x:c>
      <x:c r="B37" s="12" t="str">
        <x:v>Workflow</x:v>
      </x:c>
      <x:c r="C37" s="12" t="str">
        <x:v>Cancellation</x:v>
      </x:c>
      <x:c r="D37" s="12" t="str">
        <x:v>1</x:v>
      </x:c>
      <x:c r="E37" s="12" t="str">
        <x:v>DRAFT</x:v>
      </x:c>
      <x:c r="F37" s="12" t="str">
        <x:v>All</x:v>
      </x:c>
      <x:c r="G37" s="12" t="str">
        <x:v>Quote</x:v>
      </x:c>
      <x:c r="H37" s="12" t="str">
        <x:v>Cancellation allowed</x:v>
      </x:c>
      <x:c r="I37" s="12" t="str">
        <x:v>state machine allows cancellation</x:v>
      </x:c>
      <x:c r="J37" s="12" t="str">
        <x:v>CANCELLATION_POLICY</x:v>
      </x:c>
      <x:c r="K37" s="12" t="str">
        <x:v>TRANSITION</x:v>
      </x:c>
      <x:c r="L37" s="12" t="str">
        <x:v>QUOTE.CANCELLED</x:v>
      </x:c>
      <x:c r="M37" s="12" t="str">
        <x:v>Quote -&gt; CANCELLED</x:v>
      </x:c>
      <x:c r="N37" s="12" t="str">
        <x:v>Yes</x:v>
      </x:c>
      <x:c r="O37" s="12" t="str">
        <x:v>Yes</x:v>
      </x:c>
      <x:c r="P37" s="12" t="str">
        <x:v>S8</x:v>
      </x:c>
      <x:c r="Q37" s="12" t="str">
        <x:v>Q360-S8-03</x:v>
      </x:c>
      <x:c r="R37" s="12" t="str">
        <x:v>GT-WF-009</x:v>
      </x:c>
      <x:c r="S37" s="12" t="str">
        <x:v>ART-009</x:v>
      </x:c>
      <x:c r="T37" s="12" t="str">
        <x:v>Final transition matrix in ART-009</x:v>
      </x:c>
    </x:row>
    <x:row r="38">
      <x:c r="A38" s="12" t="str">
        <x:v>WF-010</x:v>
      </x:c>
      <x:c r="B38" s="12" t="str">
        <x:v>Workflow</x:v>
      </x:c>
      <x:c r="C38" s="12" t="str">
        <x:v>Expiry</x:v>
      </x:c>
      <x:c r="D38" s="12" t="str">
        <x:v>1</x:v>
      </x:c>
      <x:c r="E38" s="12" t="str">
        <x:v>DRAFT</x:v>
      </x:c>
      <x:c r="F38" s="12" t="str">
        <x:v>All</x:v>
      </x:c>
      <x:c r="G38" s="12" t="str">
        <x:v>Quote</x:v>
      </x:c>
      <x:c r="H38" s="12" t="str">
        <x:v>Quote validity elapsed</x:v>
      </x:c>
      <x:c r="I38" s="12" t="str">
        <x:v>now/date &gt; validUntil AND state machine allows expiry</x:v>
      </x:c>
      <x:c r="J38" s="12" t="str">
        <x:v>VALIDITY_POLICY</x:v>
      </x:c>
      <x:c r="K38" s="12" t="str">
        <x:v>TRANSITION</x:v>
      </x:c>
      <x:c r="L38" s="12" t="str">
        <x:v>QUOTE.EXPIRED</x:v>
      </x:c>
      <x:c r="M38" s="12" t="str">
        <x:v>Quote -&gt; EXPIRED</x:v>
      </x:c>
      <x:c r="N38" s="12" t="str">
        <x:v>Yes</x:v>
      </x:c>
      <x:c r="O38" s="12" t="str">
        <x:v>Yes</x:v>
      </x:c>
      <x:c r="P38" s="12" t="str">
        <x:v>S8</x:v>
      </x:c>
      <x:c r="Q38" s="12" t="str">
        <x:v>Q360-S8-03</x:v>
      </x:c>
      <x:c r="R38" s="12" t="str">
        <x:v>GT-WF-010</x:v>
      </x:c>
      <x:c r="S38" s="12" t="str">
        <x:v>OD-007/ART-009</x:v>
      </x:c>
      <x:c r="T38" s="12" t="str">
        <x:v>Validity duration not invented</x:v>
      </x:c>
    </x:row>
  </x:sheetData>
  <x:conditionalFormatting sqref="E2:E38">
    <x:cfRule type="expression" dxfId="0" priority="1">
      <x:formula>E2="DRAFT"</x:formula>
    </x:cfRule>
    <x:cfRule type="expression" dxfId="1" priority="2">
      <x:formula>E2="PUBLISHED-CANDIDATE"</x:formula>
    </x:cfRule>
  </x:conditionalFormatting>
  <x:conditionalFormatting sqref="K2:K38">
    <x:cfRule type="expression" dxfId="2" priority="3">
      <x:formula>K2="HARD_STOP"</x:formula>
    </x:cfRule>
    <x:cfRule type="expression" dxfId="3" priority="4">
      <x:formula>K2="REFERRAL"</x:formula>
    </x:cfRule>
    <x:cfRule type="expression" dxfId="4" priority="5">
      <x:formula>K2="WARNING"</x:formula>
    </x:cfRule>
  </x:conditionalFormatting>
  <x:dataValidations count="2">
    <x:dataValidation type="list" sqref="E2:E38">
      <x:formula1>"DRAFT,PUBLISHED-CANDIDATE,RETIRED"</x:formula1>
    </x:dataValidation>
    <x:dataValidation type="list" sqref="N2:O38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a36d75952247f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8" hidden="0" customWidth="1"/>
    <x:col min="4" max="4" width="12" hidden="0" customWidth="1"/>
    <x:col min="5" max="5" width="18" hidden="0" customWidth="1"/>
    <x:col min="6" max="6" width="24" hidden="0" customWidth="1"/>
    <x:col min="7" max="7" width="20" hidden="0" customWidth="1"/>
    <x:col min="8" max="8" width="24" hidden="0" customWidth="1"/>
    <x:col min="9" max="9" width="34" hidden="0" customWidth="1"/>
  </x:cols>
  <x:sheetData>
    <x:row r="1">
      <x:c r="A1" s="4" t="str">
        <x:v>Parameter Code</x:v>
      </x:c>
      <x:c r="B1" s="4" t="str">
        <x:v>Domain</x:v>
      </x:c>
      <x:c r="C1" s="4" t="str">
        <x:v>Type</x:v>
      </x:c>
      <x:c r="D1" s="4" t="str">
        <x:v>Versioned</x:v>
      </x:c>
      <x:c r="E1" s="4" t="str">
        <x:v>Value in ART-008?</x:v>
      </x:c>
      <x:c r="F1" s="4" t="str">
        <x:v>Source/Owner</x:v>
      </x:c>
      <x:c r="G1" s="4" t="str">
        <x:v>Open Decision</x:v>
      </x:c>
      <x:c r="H1" s="4" t="str">
        <x:v>Rule IDs</x:v>
      </x:c>
      <x:c r="I1" s="4" t="str">
        <x:v>Purpose</x:v>
      </x:c>
    </x:row>
    <x:row r="2">
      <x:c r="A2" s="12" t="str">
        <x:v>MIN_ENTRY_AGE</x:v>
      </x:c>
      <x:c r="B2" s="12" t="str">
        <x:v>Eligibility</x:v>
      </x:c>
      <x:c r="C2" s="12" t="str">
        <x:v>Integer</x:v>
      </x:c>
      <x:c r="D2" s="12" t="str">
        <x:v>Yes</x:v>
      </x:c>
      <x:c r="E2" s="12" t="str">
        <x:v>No</x:v>
      </x:c>
      <x:c r="F2" s="12" t="str">
        <x:v>Business/Product</x:v>
      </x:c>
      <x:c r="G2" s="12" t="str">
        <x:v>OD-004</x:v>
      </x:c>
      <x:c r="H2" s="12" t="str">
        <x:v>ELIG-003</x:v>
      </x:c>
      <x:c r="I2" s="12" t="str">
        <x:v>Minimum entry age</x:v>
      </x:c>
    </x:row>
    <x:row r="3">
      <x:c r="A3" s="12" t="str">
        <x:v>MAX_ENTRY_AGE</x:v>
      </x:c>
      <x:c r="B3" s="12" t="str">
        <x:v>Eligibility</x:v>
      </x:c>
      <x:c r="C3" s="12" t="str">
        <x:v>Integer</x:v>
      </x:c>
      <x:c r="D3" s="12" t="str">
        <x:v>Yes</x:v>
      </x:c>
      <x:c r="E3" s="12" t="str">
        <x:v>No</x:v>
      </x:c>
      <x:c r="F3" s="12" t="str">
        <x:v>Business/Product</x:v>
      </x:c>
      <x:c r="G3" s="12" t="str">
        <x:v>OD-004</x:v>
      </x:c>
      <x:c r="H3" s="12" t="str">
        <x:v>ELIG-004</x:v>
      </x:c>
      <x:c r="I3" s="12" t="str">
        <x:v>Maximum entry age</x:v>
      </x:c>
    </x:row>
    <x:row r="4">
      <x:c r="A4" s="12" t="str">
        <x:v>ALLOWED_RELATIONSHIPS</x:v>
      </x:c>
      <x:c r="B4" s="12" t="str">
        <x:v>Eligibility</x:v>
      </x:c>
      <x:c r="C4" s="12" t="str">
        <x:v>Code Set</x:v>
      </x:c>
      <x:c r="D4" s="12" t="str">
        <x:v>Yes</x:v>
      </x:c>
      <x:c r="E4" s="12" t="str">
        <x:v>No</x:v>
      </x:c>
      <x:c r="F4" s="12" t="str">
        <x:v>Business/Product</x:v>
      </x:c>
      <x:c r="G4" s="12" t="str">
        <x:v>OD-004</x:v>
      </x:c>
      <x:c r="H4" s="12" t="str">
        <x:v>ELIG-005</x:v>
      </x:c>
      <x:c r="I4" s="12" t="str">
        <x:v>Allowed member relationships</x:v>
      </x:c>
    </x:row>
    <x:row r="5">
      <x:c r="A5" s="12" t="str">
        <x:v>REFERRAL_CRITERIA</x:v>
      </x:c>
      <x:c r="B5" s="12" t="str">
        <x:v>Eligibility</x:v>
      </x:c>
      <x:c r="C5" s="12" t="str">
        <x:v>Rule Parameters</x:v>
      </x:c>
      <x:c r="D5" s="12" t="str">
        <x:v>Yes</x:v>
      </x:c>
      <x:c r="E5" s="12" t="str">
        <x:v>No</x:v>
      </x:c>
      <x:c r="F5" s="12" t="str">
        <x:v>Underwriting</x:v>
      </x:c>
      <x:c r="G5" s="12" t="str">
        <x:v>OD-004</x:v>
      </x:c>
      <x:c r="H5" s="12" t="str">
        <x:v>ELIG-008</x:v>
      </x:c>
      <x:c r="I5" s="12" t="str">
        <x:v>Conditions requiring manual review</x:v>
      </x:c>
    </x:row>
    <x:row r="6">
      <x:c r="A6" s="12" t="str">
        <x:v>WARNING_CRITERIA</x:v>
      </x:c>
      <x:c r="B6" s="12" t="str">
        <x:v>Eligibility</x:v>
      </x:c>
      <x:c r="C6" s="12" t="str">
        <x:v>Rule Parameters</x:v>
      </x:c>
      <x:c r="D6" s="12" t="str">
        <x:v>Yes</x:v>
      </x:c>
      <x:c r="E6" s="12" t="str">
        <x:v>No</x:v>
      </x:c>
      <x:c r="F6" s="12" t="str">
        <x:v>Underwriting</x:v>
      </x:c>
      <x:c r="G6" s="12" t="str">
        <x:v>OD-004</x:v>
      </x:c>
      <x:c r="H6" s="12" t="str">
        <x:v>ELIG-009</x:v>
      </x:c>
      <x:c r="I6" s="12" t="str">
        <x:v>Non-blocking eligibility warnings</x:v>
      </x:c>
    </x:row>
    <x:row r="7">
      <x:c r="A7" s="12" t="str">
        <x:v>BASE_RATE</x:v>
      </x:c>
      <x:c r="B7" s="12" t="str">
        <x:v>Pricing</x:v>
      </x:c>
      <x:c r="C7" s="12" t="str">
        <x:v>Decimal/Table</x:v>
      </x:c>
      <x:c r="D7" s="12" t="str">
        <x:v>Yes</x:v>
      </x:c>
      <x:c r="E7" s="12" t="str">
        <x:v>No</x:v>
      </x:c>
      <x:c r="F7" s="12" t="str">
        <x:v>Actuarial/Product</x:v>
      </x:c>
      <x:c r="G7" s="12" t="str">
        <x:v>OD-001</x:v>
      </x:c>
      <x:c r="H7" s="12" t="str">
        <x:v>PRICE-004</x:v>
      </x:c>
      <x:c r="I7" s="12" t="str">
        <x:v>Base premium rate</x:v>
      </x:c>
    </x:row>
    <x:row r="8">
      <x:c r="A8" s="12" t="str">
        <x:v>AGE_BAND</x:v>
      </x:c>
      <x:c r="B8" s="12" t="str">
        <x:v>Pricing</x:v>
      </x:c>
      <x:c r="C8" s="12" t="str">
        <x:v>Rating Factor</x:v>
      </x:c>
      <x:c r="D8" s="12" t="str">
        <x:v>Yes</x:v>
      </x:c>
      <x:c r="E8" s="12" t="str">
        <x:v>No</x:v>
      </x:c>
      <x:c r="F8" s="12" t="str">
        <x:v>Actuarial/Product</x:v>
      </x:c>
      <x:c r="G8" s="12" t="str">
        <x:v>OD-001/OD-004</x:v>
      </x:c>
      <x:c r="H8" s="12" t="str">
        <x:v>PRICE-005</x:v>
      </x:c>
      <x:c r="I8" s="12" t="str">
        <x:v>Age-based factor</x:v>
      </x:c>
    </x:row>
    <x:row r="9">
      <x:c r="A9" s="12" t="str">
        <x:v>RELATIONSHIP_FACTOR</x:v>
      </x:c>
      <x:c r="B9" s="12" t="str">
        <x:v>Pricing</x:v>
      </x:c>
      <x:c r="C9" s="12" t="str">
        <x:v>Rating Factor</x:v>
      </x:c>
      <x:c r="D9" s="12" t="str">
        <x:v>Yes</x:v>
      </x:c>
      <x:c r="E9" s="12" t="str">
        <x:v>No</x:v>
      </x:c>
      <x:c r="F9" s="12" t="str">
        <x:v>Actuarial/Product</x:v>
      </x:c>
      <x:c r="G9" s="12" t="str">
        <x:v>OD-001</x:v>
      </x:c>
      <x:c r="H9" s="12" t="str">
        <x:v>PRICE-006</x:v>
      </x:c>
      <x:c r="I9" s="12" t="str">
        <x:v>Relationship factor</x:v>
      </x:c>
    </x:row>
    <x:row r="10">
      <x:c r="A10" s="12" t="str">
        <x:v>PLAN_FACTOR</x:v>
      </x:c>
      <x:c r="B10" s="12" t="str">
        <x:v>Pricing</x:v>
      </x:c>
      <x:c r="C10" s="12" t="str">
        <x:v>Rating Factor</x:v>
      </x:c>
      <x:c r="D10" s="12" t="str">
        <x:v>Yes</x:v>
      </x:c>
      <x:c r="E10" s="12" t="str">
        <x:v>No</x:v>
      </x:c>
      <x:c r="F10" s="12" t="str">
        <x:v>Actuarial/Product</x:v>
      </x:c>
      <x:c r="G10" s="12" t="str">
        <x:v>OD-001</x:v>
      </x:c>
      <x:c r="H10" s="12" t="str">
        <x:v>PRICE-007</x:v>
      </x:c>
      <x:c r="I10" s="12" t="str">
        <x:v>Plan factor</x:v>
      </x:c>
    </x:row>
    <x:row r="11">
      <x:c r="A11" s="12" t="str">
        <x:v>ADJUSTMENT_*</x:v>
      </x:c>
      <x:c r="B11" s="12" t="str">
        <x:v>Pricing</x:v>
      </x:c>
      <x:c r="C11" s="12" t="str">
        <x:v>Decimal/Rule</x:v>
      </x:c>
      <x:c r="D11" s="12" t="str">
        <x:v>Yes</x:v>
      </x:c>
      <x:c r="E11" s="12" t="str">
        <x:v>No</x:v>
      </x:c>
      <x:c r="F11" s="12" t="str">
        <x:v>Actuarial/Product</x:v>
      </x:c>
      <x:c r="G11" s="12" t="str">
        <x:v>OD-001</x:v>
      </x:c>
      <x:c r="H11" s="12" t="str">
        <x:v>PRICE-008</x:v>
      </x:c>
      <x:c r="I11" s="12" t="str">
        <x:v>Approved adjustments</x:v>
      </x:c>
    </x:row>
    <x:row r="12">
      <x:c r="A12" s="12" t="str">
        <x:v>ROUNDING_POLICY</x:v>
      </x:c>
      <x:c r="B12" s="12" t="str">
        <x:v>Pricing</x:v>
      </x:c>
      <x:c r="C12" s="12" t="str">
        <x:v>Policy</x:v>
      </x:c>
      <x:c r="D12" s="12" t="str">
        <x:v>Yes</x:v>
      </x:c>
      <x:c r="E12" s="12" t="str">
        <x:v>No</x:v>
      </x:c>
      <x:c r="F12" s="12" t="str">
        <x:v>Finance/Actuarial</x:v>
      </x:c>
      <x:c r="G12" s="12" t="str">
        <x:v>OD-002</x:v>
      </x:c>
      <x:c r="H12" s="12" t="str">
        <x:v>PRICE-009;PRICE-010</x:v>
      </x:c>
      <x:c r="I12" s="12" t="str">
        <x:v>Scale, rounding mode and reconciliation</x:v>
      </x:c>
    </x:row>
    <x:row r="13">
      <x:c r="A13" s="12" t="str">
        <x:v>AUTHORITY_POLICY</x:v>
      </x:c>
      <x:c r="B13" s="12" t="str">
        <x:v>Workflow</x:v>
      </x:c>
      <x:c r="C13" s="12" t="str">
        <x:v>Policy</x:v>
      </x:c>
      <x:c r="D13" s="12" t="str">
        <x:v>Yes</x:v>
      </x:c>
      <x:c r="E13" s="12" t="str">
        <x:v>No</x:v>
      </x:c>
      <x:c r="F13" s="12" t="str">
        <x:v>Underwriting Governance</x:v>
      </x:c>
      <x:c r="G13" s="12" t="str">
        <x:v>OD-005</x:v>
      </x:c>
      <x:c r="H13" s="12" t="str">
        <x:v>WF-004;WF-005</x:v>
      </x:c>
      <x:c r="I13" s="12" t="str">
        <x:v>Approval authority</x:v>
      </x:c>
    </x:row>
    <x:row r="14">
      <x:c r="A14" s="12" t="str">
        <x:v>TEMPLATE_VERSION</x:v>
      </x:c>
      <x:c r="B14" s="12" t="str">
        <x:v>Documents</x:v>
      </x:c>
      <x:c r="C14" s="12" t="str">
        <x:v>Version Ref</x:v>
      </x:c>
      <x:c r="D14" s="12" t="str">
        <x:v>Yes</x:v>
      </x:c>
      <x:c r="E14" s="12" t="str">
        <x:v>No</x:v>
      </x:c>
      <x:c r="F14" s="12" t="str">
        <x:v>Business/Brand</x:v>
      </x:c>
      <x:c r="G14" s="12" t="str">
        <x:v>OD-006</x:v>
      </x:c>
      <x:c r="H14" s="12" t="str">
        <x:v>WF-008</x:v>
      </x:c>
      <x:c r="I14" s="12" t="str">
        <x:v>Proposal template</x:v>
      </x:c>
    </x:row>
    <x:row r="15">
      <x:c r="A15" s="12" t="str">
        <x:v>VALIDITY_POLICY</x:v>
      </x:c>
      <x:c r="B15" s="12" t="str">
        <x:v>Workflow</x:v>
      </x:c>
      <x:c r="C15" s="12" t="str">
        <x:v>Policy</x:v>
      </x:c>
      <x:c r="D15" s="12" t="str">
        <x:v>Yes</x:v>
      </x:c>
      <x:c r="E15" s="12" t="str">
        <x:v>No</x:v>
      </x:c>
      <x:c r="F15" s="12" t="str">
        <x:v>Business</x:v>
      </x:c>
      <x:c r="G15" s="12" t="str">
        <x:v>OD-007</x:v>
      </x:c>
      <x:c r="H15" s="12" t="str">
        <x:v>WF-010</x:v>
      </x:c>
      <x:c r="I15" s="12" t="str">
        <x:v>Quote validity</x:v>
      </x:c>
    </x:row>
    <x:row r="16">
      <x:c r="A16" s="12" t="str">
        <x:v>CANCELLATION_POLICY</x:v>
      </x:c>
      <x:c r="B16" s="12" t="str">
        <x:v>Workflow</x:v>
      </x:c>
      <x:c r="C16" s="12" t="str">
        <x:v>Policy</x:v>
      </x:c>
      <x:c r="D16" s="12" t="str">
        <x:v>Yes</x:v>
      </x:c>
      <x:c r="E16" s="12" t="str">
        <x:v>No</x:v>
      </x:c>
      <x:c r="F16" s="12" t="str">
        <x:v>Business/Underwriting</x:v>
      </x:c>
      <x:c r="G16" s="12" t="str">
        <x:v>ART-009</x:v>
      </x:c>
      <x:c r="H16" s="12" t="str">
        <x:v>WF-009</x:v>
      </x:c>
      <x:c r="I16" s="12" t="str">
        <x:v>Allowed cancellation states</x:v>
      </x:c>
    </x:row>
  </x:sheetData>
  <x:pageMargins left="0.7" right="0.7" top="0.75" bottom="0.75" header="0.3" footer="0.3"/>
  <x:tableParts count="1">
    <x:tablePart xmlns:r="http://schemas.openxmlformats.org/officeDocument/2006/relationships" r:id="R4b6724d90fab483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6" t="str">
        <x:v>Q360-MVP-ART-008 — Drools / Rules Matrix V1</x:v>
      </x:c>
      <x:c r="B1" s="16" t="str"/>
    </x:row>
    <x:row r="2">
      <x:c r="A2" s="12" t="str">
        <x:v>Version</x:v>
      </x:c>
      <x:c r="B2" s="12" t="str">
        <x:v>1.0</x:v>
      </x:c>
    </x:row>
    <x:row r="3">
      <x:c r="A3" s="12" t="str">
        <x:v>Status</x:v>
      </x:c>
      <x:c r="B3" s="12" t="str">
        <x:v>REVIEW</x:v>
      </x:c>
    </x:row>
    <x:row r="4">
      <x:c r="A4" s="12" t="str">
        <x:v>Authority</x:v>
      </x:c>
      <x:c r="B4" s="12" t="str">
        <x:v>Normative rule catalogue for V1; ART-009 remains final authority for state transitions.</x:v>
      </x:c>
    </x:row>
    <x:row r="5">
      <x:c r="A5" s="12" t="str">
        <x:v>Principle</x:v>
      </x:c>
      <x:c r="B5" s="12" t="str">
        <x:v>Drools contains decision logic; commercial values live in versioned configuration/rating tables.</x:v>
      </x:c>
    </x:row>
    <x:row r="6">
      <x:c r="A6" s="12" t="str">
        <x:v>Principle</x:v>
      </x:c>
      <x:c r="B6" s="12" t="str">
        <x:v>No hardcoded tariff, age threshold, authority limit, currency or rounding mode while related OD is open.</x:v>
      </x:c>
    </x:row>
    <x:row r="7">
      <x:c r="A7" s="12" t="str">
        <x:v>Principle</x:v>
      </x:c>
      <x:c r="B7" s="12" t="str">
        <x:v>Rule execution must emit evidence: ruleId, version, inputs used, parameters referenced and outcome.</x:v>
      </x:c>
    </x:row>
    <x:row r="8">
      <x:c r="A8" s="12" t="str">
        <x:v>Principle</x:v>
      </x:c>
      <x:c r="B8" s="12" t="str">
        <x:v>Published rule versions are immutable; change creates a new version with effective dates/checksum.</x:v>
      </x:c>
    </x:row>
    <x:row r="9">
      <x:c r="A9" s="12" t="str">
        <x:v>Principle</x:v>
      </x:c>
      <x:c r="B9" s="12" t="str">
        <x:v>Conflict resolution: HARD_STOP &gt; CONFIG_ERROR &gt; REFERRAL &gt; WARNING &gt; ALLOW/normal pricing action.</x:v>
      </x:c>
    </x:row>
    <x:row r="10">
      <x:c r="A10" s="12" t="str">
        <x:v>Principle</x:v>
      </x:c>
      <x:c r="B10" s="12" t="str">
        <x:v>Security and tenant isolation remain enforced outside Drools too; Drools must not be the sole security control.</x:v>
      </x:c>
    </x:row>
    <x:row r="11">
      <x:c r="A11" s="12" t="str">
        <x:v>Agenda Group</x:v>
      </x:c>
      <x:c r="B11" s="12" t="str">
        <x:v>eligibility.validation → eligibility.rules → pricing.validation → pricing.base → pricing.factors → pricing.adjustments → pricing.rounding → pricing.reconciliation → workflow.validation</x:v>
      </x:c>
    </x:row>
    <x:row r="12">
      <x:c r="A12" s="12" t="str">
        <x:v>Salience</x:v>
      </x:c>
      <x:c r="B12" s="12" t="str">
        <x:v>Use only within a documented agenda group. Prefer explicit phases over arbitrary salience.</x:v>
      </x:c>
    </x:row>
    <x:row r="13">
      <x:c r="A13" s="12" t="str">
        <x:v>No-loop</x:v>
      </x:c>
      <x:c r="B13" s="12" t="str">
        <x:v>Rules that modify facts must avoid unintended re-fire; prefer immutable result/evidence facts.</x:v>
      </x:c>
    </x:row>
    <x:row r="14">
      <x:c r="A14" s="12" t="str">
        <x:v>Determinism</x:v>
      </x:c>
      <x:c r="B14" s="12" t="str">
        <x:v>Same facts + exact product/rating/parameter/rule versions + rounding policy =&gt; same result.</x:v>
      </x:c>
    </x:row>
    <x:row r="15">
      <x:c r="A15" s="12" t="str">
        <x:v>Failure mode</x:v>
      </x:c>
      <x:c r="B15" s="12" t="str">
        <x:v>Missing required configuration =&gt; CONFIG_ERROR/fail closed; never silently default a commercial value.</x:v>
      </x:c>
    </x:row>
    <x:row r="16">
      <x:c r="A16" s="12" t="str">
        <x:v>PII/Clinical</x:v>
      </x:c>
      <x:c r="B16" s="12" t="str">
        <x:v>Do not place unrestricted clinical data in generic rule facts/logs. V1 has no advanced medical underwriting.</x:v>
      </x:c>
    </x:row>
    <x:row r="17">
      <x:c r="A17" s="12" t="str">
        <x:v>Four-eyes</x:v>
      </x:c>
      <x:c r="B17" s="12" t="str">
        <x:v>submittedBy != decidedBy for approval. Non-negotiable.</x:v>
      </x:c>
    </x:row>
    <x:row r="18">
      <x:c r="A18" s="12" t="str">
        <x:v>Testing</x:v>
      </x:c>
      <x:c r="B18" s="12" t="str">
        <x:v>Each rule ID has at least one positive and one negative/edge test; Golden Tests close pricing determinism.</x:v>
      </x:c>
    </x:row>
    <x:row r="19">
      <x:c r="A19" s="12" t="str">
        <x:v>Packaging</x:v>
      </x:c>
      <x:c r="B19" s="12" t="str">
        <x:v>Suggested: rules/&lt;domain&gt;/&lt;rule-set-code&gt;/v&lt;version&gt;/ with manifest + checksum + decision table/DRL.</x:v>
      </x:c>
    </x:row>
    <x:row r="20">
      <x:c r="A20" s="12" t="str">
        <x:v>Next artefact</x:v>
      </x:c>
      <x:c r="B20" s="12" t="str">
        <x:v>Q360-MVP-ART-009 — State Machines V1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2" hidden="0" customWidth="1"/>
    <x:col min="4" max="4" width="42" hidden="0" customWidth="1"/>
    <x:col min="5" max="5" width="28" hidden="0" customWidth="1"/>
    <x:col min="6" max="6" width="28" hidden="0" customWidth="1"/>
    <x:col min="7" max="7" width="24" hidden="0" customWidth="1"/>
    <x:col min="8" max="8" width="14" hidden="0" customWidth="1"/>
    <x:col min="9" max="9" width="16" hidden="0" customWidth="1"/>
  </x:cols>
  <x:sheetData>
    <x:row r="1">
      <x:c r="A1" s="4" t="str">
        <x:v>Test ID</x:v>
      </x:c>
      <x:c r="B1" s="4" t="str">
        <x:v>Rule ID</x:v>
      </x:c>
      <x:c r="C1" s="4" t="str">
        <x:v>Test Type</x:v>
      </x:c>
      <x:c r="D1" s="4" t="str">
        <x:v>Given</x:v>
      </x:c>
      <x:c r="E1" s="4" t="str">
        <x:v>When</x:v>
      </x:c>
      <x:c r="F1" s="4" t="str">
        <x:v>Expected Outcome</x:v>
      </x:c>
      <x:c r="G1" s="4" t="str">
        <x:v>Expected Code/Event</x:v>
      </x:c>
      <x:c r="H1" s="4" t="str">
        <x:v>Deterministic</x:v>
      </x:c>
      <x:c r="I1" s="4" t="str">
        <x:v>Release Blocker</x:v>
      </x:c>
    </x:row>
    <x:row r="2">
      <x:c r="A2" s="12" t="str">
        <x:v>GT-ELIG-001</x:v>
      </x:c>
      <x:c r="B2" s="12" t="str">
        <x:v>ELIG-001</x:v>
      </x:c>
      <x:c r="C2" s="12" t="str">
        <x:v>Positive / boundary</x:v>
      </x:c>
      <x:c r="D2" s="12" t="str">
        <x:v>Facts satisfy trigger for ELIG-001</x:v>
      </x:c>
      <x:c r="E2" s="12" t="str">
        <x:v>Evaluate applicable rule set</x:v>
      </x:c>
      <x:c r="F2" s="12" t="str">
        <x:v>HARD_STOP</x:v>
      </x:c>
      <x:c r="G2" s="12" t="str">
        <x:v>VALIDATION-400</x:v>
      </x:c>
      <x:c r="H2" s="12" t="str">
        <x:v>Yes</x:v>
      </x:c>
      <x:c r="I2" s="12" t="str">
        <x:v>No</x:v>
      </x:c>
    </x:row>
    <x:row r="3">
      <x:c r="A3" s="12" t="str">
        <x:v>GT-ELIG-001-NEG</x:v>
      </x:c>
      <x:c r="B3" s="12" t="str">
        <x:v>ELIG-001</x:v>
      </x:c>
      <x:c r="C3" s="12" t="str">
        <x:v>Negative / non-match</x:v>
      </x:c>
      <x:c r="D3" s="12" t="str">
        <x:v>Facts do not satisfy trigger for ELIG-001</x:v>
      </x:c>
      <x:c r="E3" s="12" t="str">
        <x:v>Evaluate applicable rule set</x:v>
      </x:c>
      <x:c r="F3" s="12" t="str">
        <x:v>Rule must not fire / no unintended side effect</x:v>
      </x:c>
      <x:c r="G3" s="12" t="str">
        <x:v>—</x:v>
      </x:c>
      <x:c r="H3" s="12" t="str">
        <x:v>Yes</x:v>
      </x:c>
      <x:c r="I3" s="12" t="str">
        <x:v>No</x:v>
      </x:c>
    </x:row>
    <x:row r="4">
      <x:c r="A4" s="12" t="str">
        <x:v>GT-ELIG-002</x:v>
      </x:c>
      <x:c r="B4" s="12" t="str">
        <x:v>ELIG-002</x:v>
      </x:c>
      <x:c r="C4" s="12" t="str">
        <x:v>Positive / boundary</x:v>
      </x:c>
      <x:c r="D4" s="12" t="str">
        <x:v>Facts satisfy trigger for ELIG-002</x:v>
      </x:c>
      <x:c r="E4" s="12" t="str">
        <x:v>Evaluate applicable rule set</x:v>
      </x:c>
      <x:c r="F4" s="12" t="str">
        <x:v>CONFIG_ERROR</x:v>
      </x:c>
      <x:c r="G4" s="12" t="str">
        <x:v>PRICING-CONFIG</x:v>
      </x:c>
      <x:c r="H4" s="12" t="str">
        <x:v>Yes</x:v>
      </x:c>
      <x:c r="I4" s="12" t="str">
        <x:v>No</x:v>
      </x:c>
    </x:row>
    <x:row r="5">
      <x:c r="A5" s="12" t="str">
        <x:v>GT-ELIG-002-NEG</x:v>
      </x:c>
      <x:c r="B5" s="12" t="str">
        <x:v>ELIG-002</x:v>
      </x:c>
      <x:c r="C5" s="12" t="str">
        <x:v>Negative / non-match</x:v>
      </x:c>
      <x:c r="D5" s="12" t="str">
        <x:v>Facts do not satisfy trigger for ELIG-002</x:v>
      </x:c>
      <x:c r="E5" s="12" t="str">
        <x:v>Evaluate applicable rule set</x:v>
      </x:c>
      <x:c r="F5" s="12" t="str">
        <x:v>Rule must not fire / no unintended side effect</x:v>
      </x:c>
      <x:c r="G5" s="12" t="str">
        <x:v>—</x:v>
      </x:c>
      <x:c r="H5" s="12" t="str">
        <x:v>Yes</x:v>
      </x:c>
      <x:c r="I5" s="12" t="str">
        <x:v>No</x:v>
      </x:c>
    </x:row>
    <x:row r="6">
      <x:c r="A6" s="12" t="str">
        <x:v>GT-ELIG-003</x:v>
      </x:c>
      <x:c r="B6" s="12" t="str">
        <x:v>ELIG-003</x:v>
      </x:c>
      <x:c r="C6" s="12" t="str">
        <x:v>Positive / boundary</x:v>
      </x:c>
      <x:c r="D6" s="12" t="str">
        <x:v>Facts satisfy trigger for ELIG-003</x:v>
      </x:c>
      <x:c r="E6" s="12" t="str">
        <x:v>Evaluate applicable rule set</x:v>
      </x:c>
      <x:c r="F6" s="12" t="str">
        <x:v>HARD_STOP</x:v>
      </x:c>
      <x:c r="G6" s="12" t="str">
        <x:v>ELIG-AGE-MIN</x:v>
      </x:c>
      <x:c r="H6" s="12" t="str">
        <x:v>Yes</x:v>
      </x:c>
      <x:c r="I6" s="12" t="str">
        <x:v>No</x:v>
      </x:c>
    </x:row>
    <x:row r="7">
      <x:c r="A7" s="12" t="str">
        <x:v>GT-ELIG-003-NEG</x:v>
      </x:c>
      <x:c r="B7" s="12" t="str">
        <x:v>ELIG-003</x:v>
      </x:c>
      <x:c r="C7" s="12" t="str">
        <x:v>Negative / non-match</x:v>
      </x:c>
      <x:c r="D7" s="12" t="str">
        <x:v>Facts do not satisfy trigger for ELIG-003</x:v>
      </x:c>
      <x:c r="E7" s="12" t="str">
        <x:v>Evaluate applicable rule set</x:v>
      </x:c>
      <x:c r="F7" s="12" t="str">
        <x:v>Rule must not fire / no unintended side effect</x:v>
      </x:c>
      <x:c r="G7" s="12" t="str">
        <x:v>—</x:v>
      </x:c>
      <x:c r="H7" s="12" t="str">
        <x:v>Yes</x:v>
      </x:c>
      <x:c r="I7" s="12" t="str">
        <x:v>No</x:v>
      </x:c>
    </x:row>
    <x:row r="8">
      <x:c r="A8" s="12" t="str">
        <x:v>GT-ELIG-004</x:v>
      </x:c>
      <x:c r="B8" s="12" t="str">
        <x:v>ELIG-004</x:v>
      </x:c>
      <x:c r="C8" s="12" t="str">
        <x:v>Positive / boundary</x:v>
      </x:c>
      <x:c r="D8" s="12" t="str">
        <x:v>Facts satisfy trigger for ELIG-004</x:v>
      </x:c>
      <x:c r="E8" s="12" t="str">
        <x:v>Evaluate applicable rule set</x:v>
      </x:c>
      <x:c r="F8" s="12" t="str">
        <x:v>HARD_STOP</x:v>
      </x:c>
      <x:c r="G8" s="12" t="str">
        <x:v>ELIG-AGE-MAX</x:v>
      </x:c>
      <x:c r="H8" s="12" t="str">
        <x:v>Yes</x:v>
      </x:c>
      <x:c r="I8" s="12" t="str">
        <x:v>No</x:v>
      </x:c>
    </x:row>
    <x:row r="9">
      <x:c r="A9" s="12" t="str">
        <x:v>GT-ELIG-004-NEG</x:v>
      </x:c>
      <x:c r="B9" s="12" t="str">
        <x:v>ELIG-004</x:v>
      </x:c>
      <x:c r="C9" s="12" t="str">
        <x:v>Negative / non-match</x:v>
      </x:c>
      <x:c r="D9" s="12" t="str">
        <x:v>Facts do not satisfy trigger for ELIG-004</x:v>
      </x:c>
      <x:c r="E9" s="12" t="str">
        <x:v>Evaluate applicable rule set</x:v>
      </x:c>
      <x:c r="F9" s="12" t="str">
        <x:v>Rule must not fire / no unintended side effect</x:v>
      </x:c>
      <x:c r="G9" s="12" t="str">
        <x:v>—</x:v>
      </x:c>
      <x:c r="H9" s="12" t="str">
        <x:v>Yes</x:v>
      </x:c>
      <x:c r="I9" s="12" t="str">
        <x:v>No</x:v>
      </x:c>
    </x:row>
    <x:row r="10">
      <x:c r="A10" s="12" t="str">
        <x:v>GT-ELIG-005</x:v>
      </x:c>
      <x:c r="B10" s="12" t="str">
        <x:v>ELIG-005</x:v>
      </x:c>
      <x:c r="C10" s="12" t="str">
        <x:v>Positive / boundary</x:v>
      </x:c>
      <x:c r="D10" s="12" t="str">
        <x:v>Facts satisfy trigger for ELIG-005</x:v>
      </x:c>
      <x:c r="E10" s="12" t="str">
        <x:v>Evaluate applicable rule set</x:v>
      </x:c>
      <x:c r="F10" s="12" t="str">
        <x:v>HARD_STOP</x:v>
      </x:c>
      <x:c r="G10" s="12" t="str">
        <x:v>ELIG-RELATIONSHIP</x:v>
      </x:c>
      <x:c r="H10" s="12" t="str">
        <x:v>Yes</x:v>
      </x:c>
      <x:c r="I10" s="12" t="str">
        <x:v>No</x:v>
      </x:c>
    </x:row>
    <x:row r="11">
      <x:c r="A11" s="12" t="str">
        <x:v>GT-ELIG-005-NEG</x:v>
      </x:c>
      <x:c r="B11" s="12" t="str">
        <x:v>ELIG-005</x:v>
      </x:c>
      <x:c r="C11" s="12" t="str">
        <x:v>Negative / non-match</x:v>
      </x:c>
      <x:c r="D11" s="12" t="str">
        <x:v>Facts do not satisfy trigger for ELIG-005</x:v>
      </x:c>
      <x:c r="E11" s="12" t="str">
        <x:v>Evaluate applicable rule set</x:v>
      </x:c>
      <x:c r="F11" s="12" t="str">
        <x:v>Rule must not fire / no unintended side effect</x:v>
      </x:c>
      <x:c r="G11" s="12" t="str">
        <x:v>—</x:v>
      </x:c>
      <x:c r="H11" s="12" t="str">
        <x:v>Yes</x:v>
      </x:c>
      <x:c r="I11" s="12" t="str">
        <x:v>No</x:v>
      </x:c>
    </x:row>
    <x:row r="12">
      <x:c r="A12" s="12" t="str">
        <x:v>GT-ELIG-006</x:v>
      </x:c>
      <x:c r="B12" s="12" t="str">
        <x:v>ELIG-006</x:v>
      </x:c>
      <x:c r="C12" s="12" t="str">
        <x:v>Positive / boundary</x:v>
      </x:c>
      <x:c r="D12" s="12" t="str">
        <x:v>Facts satisfy trigger for ELIG-006</x:v>
      </x:c>
      <x:c r="E12" s="12" t="str">
        <x:v>Evaluate applicable rule set</x:v>
      </x:c>
      <x:c r="F12" s="12" t="str">
        <x:v>HARD_STOP</x:v>
      </x:c>
      <x:c r="G12" s="12" t="str">
        <x:v>ELIG-PRODUCT-DATE</x:v>
      </x:c>
      <x:c r="H12" s="12" t="str">
        <x:v>Yes</x:v>
      </x:c>
      <x:c r="I12" s="12" t="str">
        <x:v>No</x:v>
      </x:c>
    </x:row>
    <x:row r="13">
      <x:c r="A13" s="12" t="str">
        <x:v>GT-ELIG-006-NEG</x:v>
      </x:c>
      <x:c r="B13" s="12" t="str">
        <x:v>ELIG-006</x:v>
      </x:c>
      <x:c r="C13" s="12" t="str">
        <x:v>Negative / non-match</x:v>
      </x:c>
      <x:c r="D13" s="12" t="str">
        <x:v>Facts do not satisfy trigger for ELIG-006</x:v>
      </x:c>
      <x:c r="E13" s="12" t="str">
        <x:v>Evaluate applicable rule set</x:v>
      </x:c>
      <x:c r="F13" s="12" t="str">
        <x:v>Rule must not fire / no unintended side effect</x:v>
      </x:c>
      <x:c r="G13" s="12" t="str">
        <x:v>—</x:v>
      </x:c>
      <x:c r="H13" s="12" t="str">
        <x:v>Yes</x:v>
      </x:c>
      <x:c r="I13" s="12" t="str">
        <x:v>No</x:v>
      </x:c>
    </x:row>
    <x:row r="14">
      <x:c r="A14" s="12" t="str">
        <x:v>GT-ELIG-007</x:v>
      </x:c>
      <x:c r="B14" s="12" t="str">
        <x:v>ELIG-007</x:v>
      </x:c>
      <x:c r="C14" s="12" t="str">
        <x:v>Positive / boundary</x:v>
      </x:c>
      <x:c r="D14" s="12" t="str">
        <x:v>Facts satisfy trigger for ELIG-007</x:v>
      </x:c>
      <x:c r="E14" s="12" t="str">
        <x:v>Evaluate applicable rule set</x:v>
      </x:c>
      <x:c r="F14" s="12" t="str">
        <x:v>HARD_STOP</x:v>
      </x:c>
      <x:c r="G14" s="12" t="str">
        <x:v>ELIG-PLAN-INACTIVE</x:v>
      </x:c>
      <x:c r="H14" s="12" t="str">
        <x:v>Yes</x:v>
      </x:c>
      <x:c r="I14" s="12" t="str">
        <x:v>No</x:v>
      </x:c>
    </x:row>
    <x:row r="15">
      <x:c r="A15" s="12" t="str">
        <x:v>GT-ELIG-007-NEG</x:v>
      </x:c>
      <x:c r="B15" s="12" t="str">
        <x:v>ELIG-007</x:v>
      </x:c>
      <x:c r="C15" s="12" t="str">
        <x:v>Negative / non-match</x:v>
      </x:c>
      <x:c r="D15" s="12" t="str">
        <x:v>Facts do not satisfy trigger for ELIG-007</x:v>
      </x:c>
      <x:c r="E15" s="12" t="str">
        <x:v>Evaluate applicable rule set</x:v>
      </x:c>
      <x:c r="F15" s="12" t="str">
        <x:v>Rule must not fire / no unintended side effect</x:v>
      </x:c>
      <x:c r="G15" s="12" t="str">
        <x:v>—</x:v>
      </x:c>
      <x:c r="H15" s="12" t="str">
        <x:v>Yes</x:v>
      </x:c>
      <x:c r="I15" s="12" t="str">
        <x:v>No</x:v>
      </x:c>
    </x:row>
    <x:row r="16">
      <x:c r="A16" s="12" t="str">
        <x:v>GT-ELIG-008</x:v>
      </x:c>
      <x:c r="B16" s="12" t="str">
        <x:v>ELIG-008</x:v>
      </x:c>
      <x:c r="C16" s="12" t="str">
        <x:v>Positive / boundary</x:v>
      </x:c>
      <x:c r="D16" s="12" t="str">
        <x:v>Facts satisfy trigger for ELIG-008</x:v>
      </x:c>
      <x:c r="E16" s="12" t="str">
        <x:v>Evaluate applicable rule set</x:v>
      </x:c>
      <x:c r="F16" s="12" t="str">
        <x:v>REFERRAL</x:v>
      </x:c>
      <x:c r="G16" s="12" t="str">
        <x:v>ELIG-REFERRAL</x:v>
      </x:c>
      <x:c r="H16" s="12" t="str">
        <x:v>Yes</x:v>
      </x:c>
      <x:c r="I16" s="12" t="str">
        <x:v>No</x:v>
      </x:c>
    </x:row>
    <x:row r="17">
      <x:c r="A17" s="12" t="str">
        <x:v>GT-ELIG-008-NEG</x:v>
      </x:c>
      <x:c r="B17" s="12" t="str">
        <x:v>ELIG-008</x:v>
      </x:c>
      <x:c r="C17" s="12" t="str">
        <x:v>Negative / non-match</x:v>
      </x:c>
      <x:c r="D17" s="12" t="str">
        <x:v>Facts do not satisfy trigger for ELIG-008</x:v>
      </x:c>
      <x:c r="E17" s="12" t="str">
        <x:v>Evaluate applicable rule set</x:v>
      </x:c>
      <x:c r="F17" s="12" t="str">
        <x:v>Rule must not fire / no unintended side effect</x:v>
      </x:c>
      <x:c r="G17" s="12" t="str">
        <x:v>—</x:v>
      </x:c>
      <x:c r="H17" s="12" t="str">
        <x:v>Yes</x:v>
      </x:c>
      <x:c r="I17" s="12" t="str">
        <x:v>No</x:v>
      </x:c>
    </x:row>
    <x:row r="18">
      <x:c r="A18" s="12" t="str">
        <x:v>GT-ELIG-009</x:v>
      </x:c>
      <x:c r="B18" s="12" t="str">
        <x:v>ELIG-009</x:v>
      </x:c>
      <x:c r="C18" s="12" t="str">
        <x:v>Positive / boundary</x:v>
      </x:c>
      <x:c r="D18" s="12" t="str">
        <x:v>Facts satisfy trigger for ELIG-009</x:v>
      </x:c>
      <x:c r="E18" s="12" t="str">
        <x:v>Evaluate applicable rule set</x:v>
      </x:c>
      <x:c r="F18" s="12" t="str">
        <x:v>WARNING</x:v>
      </x:c>
      <x:c r="G18" s="12" t="str">
        <x:v>ELIG-WARNING</x:v>
      </x:c>
      <x:c r="H18" s="12" t="str">
        <x:v>Yes</x:v>
      </x:c>
      <x:c r="I18" s="12" t="str">
        <x:v>No</x:v>
      </x:c>
    </x:row>
    <x:row r="19">
      <x:c r="A19" s="12" t="str">
        <x:v>GT-ELIG-009-NEG</x:v>
      </x:c>
      <x:c r="B19" s="12" t="str">
        <x:v>ELIG-009</x:v>
      </x:c>
      <x:c r="C19" s="12" t="str">
        <x:v>Negative / non-match</x:v>
      </x:c>
      <x:c r="D19" s="12" t="str">
        <x:v>Facts do not satisfy trigger for ELIG-009</x:v>
      </x:c>
      <x:c r="E19" s="12" t="str">
        <x:v>Evaluate applicable rule set</x:v>
      </x:c>
      <x:c r="F19" s="12" t="str">
        <x:v>Rule must not fire / no unintended side effect</x:v>
      </x:c>
      <x:c r="G19" s="12" t="str">
        <x:v>—</x:v>
      </x:c>
      <x:c r="H19" s="12" t="str">
        <x:v>Yes</x:v>
      </x:c>
      <x:c r="I19" s="12" t="str">
        <x:v>No</x:v>
      </x:c>
    </x:row>
    <x:row r="20">
      <x:c r="A20" s="12" t="str">
        <x:v>GT-ELIG-010</x:v>
      </x:c>
      <x:c r="B20" s="12" t="str">
        <x:v>ELIG-010</x:v>
      </x:c>
      <x:c r="C20" s="12" t="str">
        <x:v>Positive / boundary</x:v>
      </x:c>
      <x:c r="D20" s="12" t="str">
        <x:v>Facts satisfy trigger for ELIG-010</x:v>
      </x:c>
      <x:c r="E20" s="12" t="str">
        <x:v>Evaluate applicable rule set</x:v>
      </x:c>
      <x:c r="F20" s="12" t="str">
        <x:v>CONFIG_ERROR</x:v>
      </x:c>
      <x:c r="G20" s="12" t="str">
        <x:v>ELIG-RULE-MISSING</x:v>
      </x:c>
      <x:c r="H20" s="12" t="str">
        <x:v>Yes</x:v>
      </x:c>
      <x:c r="I20" s="12" t="str">
        <x:v>No</x:v>
      </x:c>
    </x:row>
    <x:row r="21">
      <x:c r="A21" s="12" t="str">
        <x:v>GT-ELIG-010-NEG</x:v>
      </x:c>
      <x:c r="B21" s="12" t="str">
        <x:v>ELIG-010</x:v>
      </x:c>
      <x:c r="C21" s="12" t="str">
        <x:v>Negative / non-match</x:v>
      </x:c>
      <x:c r="D21" s="12" t="str">
        <x:v>Facts do not satisfy trigger for ELIG-010</x:v>
      </x:c>
      <x:c r="E21" s="12" t="str">
        <x:v>Evaluate applicable rule set</x:v>
      </x:c>
      <x:c r="F21" s="12" t="str">
        <x:v>Rule must not fire / no unintended side effect</x:v>
      </x:c>
      <x:c r="G21" s="12" t="str">
        <x:v>—</x:v>
      </x:c>
      <x:c r="H21" s="12" t="str">
        <x:v>Yes</x:v>
      </x:c>
      <x:c r="I21" s="12" t="str">
        <x:v>No</x:v>
      </x:c>
    </x:row>
    <x:row r="22">
      <x:c r="A22" s="12" t="str">
        <x:v>GT-PRICE-001</x:v>
      </x:c>
      <x:c r="B22" s="12" t="str">
        <x:v>PRICE-001</x:v>
      </x:c>
      <x:c r="C22" s="12" t="str">
        <x:v>Positive / boundary</x:v>
      </x:c>
      <x:c r="D22" s="12" t="str">
        <x:v>Facts satisfy trigger for PRICE-001</x:v>
      </x:c>
      <x:c r="E22" s="12" t="str">
        <x:v>Evaluate applicable rule set</x:v>
      </x:c>
      <x:c r="F22" s="12" t="str">
        <x:v>CONFIG_ERROR</x:v>
      </x:c>
      <x:c r="G22" s="12" t="str">
        <x:v>PRICING-CONFIG</x:v>
      </x:c>
      <x:c r="H22" s="12" t="str">
        <x:v>Yes</x:v>
      </x:c>
      <x:c r="I22" s="12" t="str">
        <x:v>No</x:v>
      </x:c>
    </x:row>
    <x:row r="23">
      <x:c r="A23" s="12" t="str">
        <x:v>GT-PRICE-001-NEG</x:v>
      </x:c>
      <x:c r="B23" s="12" t="str">
        <x:v>PRICE-001</x:v>
      </x:c>
      <x:c r="C23" s="12" t="str">
        <x:v>Negative / non-match</x:v>
      </x:c>
      <x:c r="D23" s="12" t="str">
        <x:v>Facts do not satisfy trigger for PRICE-001</x:v>
      </x:c>
      <x:c r="E23" s="12" t="str">
        <x:v>Evaluate applicable rule set</x:v>
      </x:c>
      <x:c r="F23" s="12" t="str">
        <x:v>Rule must not fire / no unintended side effect</x:v>
      </x:c>
      <x:c r="G23" s="12" t="str">
        <x:v>—</x:v>
      </x:c>
      <x:c r="H23" s="12" t="str">
        <x:v>Yes</x:v>
      </x:c>
      <x:c r="I23" s="12" t="str">
        <x:v>No</x:v>
      </x:c>
    </x:row>
    <x:row r="24">
      <x:c r="A24" s="12" t="str">
        <x:v>GT-PRICE-002</x:v>
      </x:c>
      <x:c r="B24" s="12" t="str">
        <x:v>PRICE-002</x:v>
      </x:c>
      <x:c r="C24" s="12" t="str">
        <x:v>Positive / boundary</x:v>
      </x:c>
      <x:c r="D24" s="12" t="str">
        <x:v>Facts satisfy trigger for PRICE-002</x:v>
      </x:c>
      <x:c r="E24" s="12" t="str">
        <x:v>Evaluate applicable rule set</x:v>
      </x:c>
      <x:c r="F24" s="12" t="str">
        <x:v>CONFIG_ERROR</x:v>
      </x:c>
      <x:c r="G24" s="12" t="str">
        <x:v>PRICING-CONFIG</x:v>
      </x:c>
      <x:c r="H24" s="12" t="str">
        <x:v>Yes</x:v>
      </x:c>
      <x:c r="I24" s="12" t="str">
        <x:v>No</x:v>
      </x:c>
    </x:row>
    <x:row r="25">
      <x:c r="A25" s="12" t="str">
        <x:v>GT-PRICE-002-NEG</x:v>
      </x:c>
      <x:c r="B25" s="12" t="str">
        <x:v>PRICE-002</x:v>
      </x:c>
      <x:c r="C25" s="12" t="str">
        <x:v>Negative / non-match</x:v>
      </x:c>
      <x:c r="D25" s="12" t="str">
        <x:v>Facts do not satisfy trigger for PRICE-002</x:v>
      </x:c>
      <x:c r="E25" s="12" t="str">
        <x:v>Evaluate applicable rule set</x:v>
      </x:c>
      <x:c r="F25" s="12" t="str">
        <x:v>Rule must not fire / no unintended side effect</x:v>
      </x:c>
      <x:c r="G25" s="12" t="str">
        <x:v>—</x:v>
      </x:c>
      <x:c r="H25" s="12" t="str">
        <x:v>Yes</x:v>
      </x:c>
      <x:c r="I25" s="12" t="str">
        <x:v>No</x:v>
      </x:c>
    </x:row>
    <x:row r="26">
      <x:c r="A26" s="12" t="str">
        <x:v>GT-PRICE-003</x:v>
      </x:c>
      <x:c r="B26" s="12" t="str">
        <x:v>PRICE-003</x:v>
      </x:c>
      <x:c r="C26" s="12" t="str">
        <x:v>Positive / boundary</x:v>
      </x:c>
      <x:c r="D26" s="12" t="str">
        <x:v>Facts satisfy trigger for PRICE-003</x:v>
      </x:c>
      <x:c r="E26" s="12" t="str">
        <x:v>Evaluate applicable rule set</x:v>
      </x:c>
      <x:c r="F26" s="12" t="str">
        <x:v>CONFIG_ERROR</x:v>
      </x:c>
      <x:c r="G26" s="12" t="str">
        <x:v>PRICING-CONFIG</x:v>
      </x:c>
      <x:c r="H26" s="12" t="str">
        <x:v>Yes</x:v>
      </x:c>
      <x:c r="I26" s="12" t="str">
        <x:v>No</x:v>
      </x:c>
    </x:row>
    <x:row r="27">
      <x:c r="A27" s="12" t="str">
        <x:v>GT-PRICE-003-NEG</x:v>
      </x:c>
      <x:c r="B27" s="12" t="str">
        <x:v>PRICE-003</x:v>
      </x:c>
      <x:c r="C27" s="12" t="str">
        <x:v>Negative / non-match</x:v>
      </x:c>
      <x:c r="D27" s="12" t="str">
        <x:v>Facts do not satisfy trigger for PRICE-003</x:v>
      </x:c>
      <x:c r="E27" s="12" t="str">
        <x:v>Evaluate applicable rule set</x:v>
      </x:c>
      <x:c r="F27" s="12" t="str">
        <x:v>Rule must not fire / no unintended side effect</x:v>
      </x:c>
      <x:c r="G27" s="12" t="str">
        <x:v>—</x:v>
      </x:c>
      <x:c r="H27" s="12" t="str">
        <x:v>Yes</x:v>
      </x:c>
      <x:c r="I27" s="12" t="str">
        <x:v>No</x:v>
      </x:c>
    </x:row>
    <x:row r="28">
      <x:c r="A28" s="12" t="str">
        <x:v>GT-PRICE-004</x:v>
      </x:c>
      <x:c r="B28" s="12" t="str">
        <x:v>PRICE-004</x:v>
      </x:c>
      <x:c r="C28" s="12" t="str">
        <x:v>Positive / boundary</x:v>
      </x:c>
      <x:c r="D28" s="12" t="str">
        <x:v>Facts satisfy trigger for PRICE-004</x:v>
      </x:c>
      <x:c r="E28" s="12" t="str">
        <x:v>Evaluate applicable rule set</x:v>
      </x:c>
      <x:c r="F28" s="12" t="str">
        <x:v>ADD_COMPONENT</x:v>
      </x:c>
      <x:c r="G28" s="12" t="str">
        <x:v>PRICE-BASE</x:v>
      </x:c>
      <x:c r="H28" s="12" t="str">
        <x:v>Yes</x:v>
      </x:c>
      <x:c r="I28" s="12" t="str">
        <x:v>No</x:v>
      </x:c>
    </x:row>
    <x:row r="29">
      <x:c r="A29" s="12" t="str">
        <x:v>GT-PRICE-004-NEG</x:v>
      </x:c>
      <x:c r="B29" s="12" t="str">
        <x:v>PRICE-004</x:v>
      </x:c>
      <x:c r="C29" s="12" t="str">
        <x:v>Negative / non-match</x:v>
      </x:c>
      <x:c r="D29" s="12" t="str">
        <x:v>Facts do not satisfy trigger for PRICE-004</x:v>
      </x:c>
      <x:c r="E29" s="12" t="str">
        <x:v>Evaluate applicable rule set</x:v>
      </x:c>
      <x:c r="F29" s="12" t="str">
        <x:v>Rule must not fire / no unintended side effect</x:v>
      </x:c>
      <x:c r="G29" s="12" t="str">
        <x:v>—</x:v>
      </x:c>
      <x:c r="H29" s="12" t="str">
        <x:v>Yes</x:v>
      </x:c>
      <x:c r="I29" s="12" t="str">
        <x:v>No</x:v>
      </x:c>
    </x:row>
    <x:row r="30">
      <x:c r="A30" s="12" t="str">
        <x:v>GT-PRICE-005</x:v>
      </x:c>
      <x:c r="B30" s="12" t="str">
        <x:v>PRICE-005</x:v>
      </x:c>
      <x:c r="C30" s="12" t="str">
        <x:v>Positive / boundary</x:v>
      </x:c>
      <x:c r="D30" s="12" t="str">
        <x:v>Facts satisfy trigger for PRICE-005</x:v>
      </x:c>
      <x:c r="E30" s="12" t="str">
        <x:v>Evaluate applicable rule set</x:v>
      </x:c>
      <x:c r="F30" s="12" t="str">
        <x:v>MULTIPLY_FACTOR</x:v>
      </x:c>
      <x:c r="G30" s="12" t="str">
        <x:v>PRICE-AGE</x:v>
      </x:c>
      <x:c r="H30" s="12" t="str">
        <x:v>Yes</x:v>
      </x:c>
      <x:c r="I30" s="12" t="str">
        <x:v>No</x:v>
      </x:c>
    </x:row>
    <x:row r="31">
      <x:c r="A31" s="12" t="str">
        <x:v>GT-PRICE-005-NEG</x:v>
      </x:c>
      <x:c r="B31" s="12" t="str">
        <x:v>PRICE-005</x:v>
      </x:c>
      <x:c r="C31" s="12" t="str">
        <x:v>Negative / non-match</x:v>
      </x:c>
      <x:c r="D31" s="12" t="str">
        <x:v>Facts do not satisfy trigger for PRICE-005</x:v>
      </x:c>
      <x:c r="E31" s="12" t="str">
        <x:v>Evaluate applicable rule set</x:v>
      </x:c>
      <x:c r="F31" s="12" t="str">
        <x:v>Rule must not fire / no unintended side effect</x:v>
      </x:c>
      <x:c r="G31" s="12" t="str">
        <x:v>—</x:v>
      </x:c>
      <x:c r="H31" s="12" t="str">
        <x:v>Yes</x:v>
      </x:c>
      <x:c r="I31" s="12" t="str">
        <x:v>No</x:v>
      </x:c>
    </x:row>
    <x:row r="32">
      <x:c r="A32" s="12" t="str">
        <x:v>GT-PRICE-006</x:v>
      </x:c>
      <x:c r="B32" s="12" t="str">
        <x:v>PRICE-006</x:v>
      </x:c>
      <x:c r="C32" s="12" t="str">
        <x:v>Positive / boundary</x:v>
      </x:c>
      <x:c r="D32" s="12" t="str">
        <x:v>Facts satisfy trigger for PRICE-006</x:v>
      </x:c>
      <x:c r="E32" s="12" t="str">
        <x:v>Evaluate applicable rule set</x:v>
      </x:c>
      <x:c r="F32" s="12" t="str">
        <x:v>MULTIPLY_FACTOR</x:v>
      </x:c>
      <x:c r="G32" s="12" t="str">
        <x:v>PRICE-REL</x:v>
      </x:c>
      <x:c r="H32" s="12" t="str">
        <x:v>Yes</x:v>
      </x:c>
      <x:c r="I32" s="12" t="str">
        <x:v>No</x:v>
      </x:c>
    </x:row>
    <x:row r="33">
      <x:c r="A33" s="12" t="str">
        <x:v>GT-PRICE-006-NEG</x:v>
      </x:c>
      <x:c r="B33" s="12" t="str">
        <x:v>PRICE-006</x:v>
      </x:c>
      <x:c r="C33" s="12" t="str">
        <x:v>Negative / non-match</x:v>
      </x:c>
      <x:c r="D33" s="12" t="str">
        <x:v>Facts do not satisfy trigger for PRICE-006</x:v>
      </x:c>
      <x:c r="E33" s="12" t="str">
        <x:v>Evaluate applicable rule set</x:v>
      </x:c>
      <x:c r="F33" s="12" t="str">
        <x:v>Rule must not fire / no unintended side effect</x:v>
      </x:c>
      <x:c r="G33" s="12" t="str">
        <x:v>—</x:v>
      </x:c>
      <x:c r="H33" s="12" t="str">
        <x:v>Yes</x:v>
      </x:c>
      <x:c r="I33" s="12" t="str">
        <x:v>No</x:v>
      </x:c>
    </x:row>
    <x:row r="34">
      <x:c r="A34" s="12" t="str">
        <x:v>GT-PRICE-007</x:v>
      </x:c>
      <x:c r="B34" s="12" t="str">
        <x:v>PRICE-007</x:v>
      </x:c>
      <x:c r="C34" s="12" t="str">
        <x:v>Positive / boundary</x:v>
      </x:c>
      <x:c r="D34" s="12" t="str">
        <x:v>Facts satisfy trigger for PRICE-007</x:v>
      </x:c>
      <x:c r="E34" s="12" t="str">
        <x:v>Evaluate applicable rule set</x:v>
      </x:c>
      <x:c r="F34" s="12" t="str">
        <x:v>MULTIPLY_FACTOR</x:v>
      </x:c>
      <x:c r="G34" s="12" t="str">
        <x:v>PRICE-PLAN</x:v>
      </x:c>
      <x:c r="H34" s="12" t="str">
        <x:v>Yes</x:v>
      </x:c>
      <x:c r="I34" s="12" t="str">
        <x:v>No</x:v>
      </x:c>
    </x:row>
    <x:row r="35">
      <x:c r="A35" s="12" t="str">
        <x:v>GT-PRICE-007-NEG</x:v>
      </x:c>
      <x:c r="B35" s="12" t="str">
        <x:v>PRICE-007</x:v>
      </x:c>
      <x:c r="C35" s="12" t="str">
        <x:v>Negative / non-match</x:v>
      </x:c>
      <x:c r="D35" s="12" t="str">
        <x:v>Facts do not satisfy trigger for PRICE-007</x:v>
      </x:c>
      <x:c r="E35" s="12" t="str">
        <x:v>Evaluate applicable rule set</x:v>
      </x:c>
      <x:c r="F35" s="12" t="str">
        <x:v>Rule must not fire / no unintended side effect</x:v>
      </x:c>
      <x:c r="G35" s="12" t="str">
        <x:v>—</x:v>
      </x:c>
      <x:c r="H35" s="12" t="str">
        <x:v>Yes</x:v>
      </x:c>
      <x:c r="I35" s="12" t="str">
        <x:v>No</x:v>
      </x:c>
    </x:row>
    <x:row r="36">
      <x:c r="A36" s="12" t="str">
        <x:v>GT-PRICE-008</x:v>
      </x:c>
      <x:c r="B36" s="12" t="str">
        <x:v>PRICE-008</x:v>
      </x:c>
      <x:c r="C36" s="12" t="str">
        <x:v>Positive / boundary</x:v>
      </x:c>
      <x:c r="D36" s="12" t="str">
        <x:v>Facts satisfy trigger for PRICE-008</x:v>
      </x:c>
      <x:c r="E36" s="12" t="str">
        <x:v>Evaluate applicable rule set</x:v>
      </x:c>
      <x:c r="F36" s="12" t="str">
        <x:v>ADD_ADJUSTMENT</x:v>
      </x:c>
      <x:c r="G36" s="12" t="str">
        <x:v>PRICE-ADJUST</x:v>
      </x:c>
      <x:c r="H36" s="12" t="str">
        <x:v>Yes</x:v>
      </x:c>
      <x:c r="I36" s="12" t="str">
        <x:v>No</x:v>
      </x:c>
    </x:row>
    <x:row r="37">
      <x:c r="A37" s="12" t="str">
        <x:v>GT-PRICE-008-NEG</x:v>
      </x:c>
      <x:c r="B37" s="12" t="str">
        <x:v>PRICE-008</x:v>
      </x:c>
      <x:c r="C37" s="12" t="str">
        <x:v>Negative / non-match</x:v>
      </x:c>
      <x:c r="D37" s="12" t="str">
        <x:v>Facts do not satisfy trigger for PRICE-008</x:v>
      </x:c>
      <x:c r="E37" s="12" t="str">
        <x:v>Evaluate applicable rule set</x:v>
      </x:c>
      <x:c r="F37" s="12" t="str">
        <x:v>Rule must not fire / no unintended side effect</x:v>
      </x:c>
      <x:c r="G37" s="12" t="str">
        <x:v>—</x:v>
      </x:c>
      <x:c r="H37" s="12" t="str">
        <x:v>Yes</x:v>
      </x:c>
      <x:c r="I37" s="12" t="str">
        <x:v>No</x:v>
      </x:c>
    </x:row>
    <x:row r="38">
      <x:c r="A38" s="12" t="str">
        <x:v>GT-PRICE-009</x:v>
      </x:c>
      <x:c r="B38" s="12" t="str">
        <x:v>PRICE-009</x:v>
      </x:c>
      <x:c r="C38" s="12" t="str">
        <x:v>Positive / boundary</x:v>
      </x:c>
      <x:c r="D38" s="12" t="str">
        <x:v>Facts satisfy trigger for PRICE-009</x:v>
      </x:c>
      <x:c r="E38" s="12" t="str">
        <x:v>Evaluate applicable rule set</x:v>
      </x:c>
      <x:c r="F38" s="12" t="str">
        <x:v>ROUND</x:v>
      </x:c>
      <x:c r="G38" s="12" t="str">
        <x:v>PRICE-ROUND</x:v>
      </x:c>
      <x:c r="H38" s="12" t="str">
        <x:v>Yes</x:v>
      </x:c>
      <x:c r="I38" s="12" t="str">
        <x:v>No</x:v>
      </x:c>
    </x:row>
    <x:row r="39">
      <x:c r="A39" s="12" t="str">
        <x:v>GT-PRICE-009-NEG</x:v>
      </x:c>
      <x:c r="B39" s="12" t="str">
        <x:v>PRICE-009</x:v>
      </x:c>
      <x:c r="C39" s="12" t="str">
        <x:v>Negative / non-match</x:v>
      </x:c>
      <x:c r="D39" s="12" t="str">
        <x:v>Facts do not satisfy trigger for PRICE-009</x:v>
      </x:c>
      <x:c r="E39" s="12" t="str">
        <x:v>Evaluate applicable rule set</x:v>
      </x:c>
      <x:c r="F39" s="12" t="str">
        <x:v>Rule must not fire / no unintended side effect</x:v>
      </x:c>
      <x:c r="G39" s="12" t="str">
        <x:v>—</x:v>
      </x:c>
      <x:c r="H39" s="12" t="str">
        <x:v>Yes</x:v>
      </x:c>
      <x:c r="I39" s="12" t="str">
        <x:v>No</x:v>
      </x:c>
    </x:row>
    <x:row r="40">
      <x:c r="A40" s="12" t="str">
        <x:v>GT-PRICE-010</x:v>
      </x:c>
      <x:c r="B40" s="12" t="str">
        <x:v>PRICE-010</x:v>
      </x:c>
      <x:c r="C40" s="12" t="str">
        <x:v>Positive / boundary</x:v>
      </x:c>
      <x:c r="D40" s="12" t="str">
        <x:v>Facts satisfy trigger for PRICE-010</x:v>
      </x:c>
      <x:c r="E40" s="12" t="str">
        <x:v>Evaluate applicable rule set</x:v>
      </x:c>
      <x:c r="F40" s="12" t="str">
        <x:v>CONFIG_ERROR</x:v>
      </x:c>
      <x:c r="G40" s="12" t="str">
        <x:v>PRICE-RECON</x:v>
      </x:c>
      <x:c r="H40" s="12" t="str">
        <x:v>Yes</x:v>
      </x:c>
      <x:c r="I40" s="12" t="str">
        <x:v>No</x:v>
      </x:c>
    </x:row>
    <x:row r="41">
      <x:c r="A41" s="12" t="str">
        <x:v>GT-PRICE-010-NEG</x:v>
      </x:c>
      <x:c r="B41" s="12" t="str">
        <x:v>PRICE-010</x:v>
      </x:c>
      <x:c r="C41" s="12" t="str">
        <x:v>Negative / non-match</x:v>
      </x:c>
      <x:c r="D41" s="12" t="str">
        <x:v>Facts do not satisfy trigger for PRICE-010</x:v>
      </x:c>
      <x:c r="E41" s="12" t="str">
        <x:v>Evaluate applicable rule set</x:v>
      </x:c>
      <x:c r="F41" s="12" t="str">
        <x:v>Rule must not fire / no unintended side effect</x:v>
      </x:c>
      <x:c r="G41" s="12" t="str">
        <x:v>—</x:v>
      </x:c>
      <x:c r="H41" s="12" t="str">
        <x:v>Yes</x:v>
      </x:c>
      <x:c r="I41" s="12" t="str">
        <x:v>No</x:v>
      </x:c>
    </x:row>
    <x:row r="42">
      <x:c r="A42" s="12" t="str">
        <x:v>GT-PRICE-011</x:v>
      </x:c>
      <x:c r="B42" s="12" t="str">
        <x:v>PRICE-011</x:v>
      </x:c>
      <x:c r="C42" s="12" t="str">
        <x:v>Positive / boundary</x:v>
      </x:c>
      <x:c r="D42" s="12" t="str">
        <x:v>Facts satisfy trigger for PRICE-011</x:v>
      </x:c>
      <x:c r="E42" s="12" t="str">
        <x:v>Evaluate applicable rule set</x:v>
      </x:c>
      <x:c r="F42" s="12" t="str">
        <x:v>HARD_STOP</x:v>
      </x:c>
      <x:c r="G42" s="12" t="str">
        <x:v>VALIDATION-400</x:v>
      </x:c>
      <x:c r="H42" s="12" t="str">
        <x:v>Yes</x:v>
      </x:c>
      <x:c r="I42" s="12" t="str">
        <x:v>No</x:v>
      </x:c>
    </x:row>
    <x:row r="43">
      <x:c r="A43" s="12" t="str">
        <x:v>GT-PRICE-011-NEG</x:v>
      </x:c>
      <x:c r="B43" s="12" t="str">
        <x:v>PRICE-011</x:v>
      </x:c>
      <x:c r="C43" s="12" t="str">
        <x:v>Negative / non-match</x:v>
      </x:c>
      <x:c r="D43" s="12" t="str">
        <x:v>Facts do not satisfy trigger for PRICE-011</x:v>
      </x:c>
      <x:c r="E43" s="12" t="str">
        <x:v>Evaluate applicable rule set</x:v>
      </x:c>
      <x:c r="F43" s="12" t="str">
        <x:v>Rule must not fire / no unintended side effect</x:v>
      </x:c>
      <x:c r="G43" s="12" t="str">
        <x:v>—</x:v>
      </x:c>
      <x:c r="H43" s="12" t="str">
        <x:v>Yes</x:v>
      </x:c>
      <x:c r="I43" s="12" t="str">
        <x:v>No</x:v>
      </x:c>
    </x:row>
    <x:row r="44">
      <x:c r="A44" s="12" t="str">
        <x:v>GT-PRICE-012</x:v>
      </x:c>
      <x:c r="B44" s="12" t="str">
        <x:v>PRICE-012</x:v>
      </x:c>
      <x:c r="C44" s="12" t="str">
        <x:v>Positive / boundary</x:v>
      </x:c>
      <x:c r="D44" s="12" t="str">
        <x:v>Facts satisfy trigger for PRICE-012</x:v>
      </x:c>
      <x:c r="E44" s="12" t="str">
        <x:v>Evaluate applicable rule set</x:v>
      </x:c>
      <x:c r="F44" s="12" t="str">
        <x:v>CONFIG_ERROR</x:v>
      </x:c>
      <x:c r="G44" s="12" t="str">
        <x:v>PRICING-NONDETERMINISTIC</x:v>
      </x:c>
      <x:c r="H44" s="12" t="str">
        <x:v>Yes</x:v>
      </x:c>
      <x:c r="I44" s="12" t="str">
        <x:v>Yes</x:v>
      </x:c>
    </x:row>
    <x:row r="45">
      <x:c r="A45" s="12" t="str">
        <x:v>GT-PRICE-012-NEG</x:v>
      </x:c>
      <x:c r="B45" s="12" t="str">
        <x:v>PRICE-012</x:v>
      </x:c>
      <x:c r="C45" s="12" t="str">
        <x:v>Negative / non-match</x:v>
      </x:c>
      <x:c r="D45" s="12" t="str">
        <x:v>Facts do not satisfy trigger for PRICE-012</x:v>
      </x:c>
      <x:c r="E45" s="12" t="str">
        <x:v>Evaluate applicable rule set</x:v>
      </x:c>
      <x:c r="F45" s="12" t="str">
        <x:v>Rule must not fire / no unintended side effect</x:v>
      </x:c>
      <x:c r="G45" s="12" t="str">
        <x:v>—</x:v>
      </x:c>
      <x:c r="H45" s="12" t="str">
        <x:v>Yes</x:v>
      </x:c>
      <x:c r="I45" s="12" t="str">
        <x:v>No</x:v>
      </x:c>
    </x:row>
    <x:row r="46">
      <x:c r="A46" s="12" t="str">
        <x:v>GT-VAL-001</x:v>
      </x:c>
      <x:c r="B46" s="12" t="str">
        <x:v>VAL-001</x:v>
      </x:c>
      <x:c r="C46" s="12" t="str">
        <x:v>Positive / boundary</x:v>
      </x:c>
      <x:c r="D46" s="12" t="str">
        <x:v>Facts satisfy trigger for VAL-001</x:v>
      </x:c>
      <x:c r="E46" s="12" t="str">
        <x:v>Evaluate applicable rule set</x:v>
      </x:c>
      <x:c r="F46" s="12" t="str">
        <x:v>HARD_STOP</x:v>
      </x:c>
      <x:c r="G46" s="12" t="str">
        <x:v>QUOTE-NO-MEMBERS</x:v>
      </x:c>
      <x:c r="H46" s="12" t="str">
        <x:v>Yes</x:v>
      </x:c>
      <x:c r="I46" s="12" t="str">
        <x:v>No</x:v>
      </x:c>
    </x:row>
    <x:row r="47">
      <x:c r="A47" s="12" t="str">
        <x:v>GT-VAL-001-NEG</x:v>
      </x:c>
      <x:c r="B47" s="12" t="str">
        <x:v>VAL-001</x:v>
      </x:c>
      <x:c r="C47" s="12" t="str">
        <x:v>Negative / non-match</x:v>
      </x:c>
      <x:c r="D47" s="12" t="str">
        <x:v>Facts do not satisfy trigger for VAL-001</x:v>
      </x:c>
      <x:c r="E47" s="12" t="str">
        <x:v>Evaluate applicable rule set</x:v>
      </x:c>
      <x:c r="F47" s="12" t="str">
        <x:v>Rule must not fire / no unintended side effect</x:v>
      </x:c>
      <x:c r="G47" s="12" t="str">
        <x:v>—</x:v>
      </x:c>
      <x:c r="H47" s="12" t="str">
        <x:v>Yes</x:v>
      </x:c>
      <x:c r="I47" s="12" t="str">
        <x:v>No</x:v>
      </x:c>
    </x:row>
    <x:row r="48">
      <x:c r="A48" s="12" t="str">
        <x:v>GT-VAL-002</x:v>
      </x:c>
      <x:c r="B48" s="12" t="str">
        <x:v>VAL-002</x:v>
      </x:c>
      <x:c r="C48" s="12" t="str">
        <x:v>Positive / boundary</x:v>
      </x:c>
      <x:c r="D48" s="12" t="str">
        <x:v>Facts satisfy trigger for VAL-002</x:v>
      </x:c>
      <x:c r="E48" s="12" t="str">
        <x:v>Evaluate applicable rule set</x:v>
      </x:c>
      <x:c r="F48" s="12" t="str">
        <x:v>HARD_STOP</x:v>
      </x:c>
      <x:c r="G48" s="12" t="str">
        <x:v>QUOTE-NOT-PRICED</x:v>
      </x:c>
      <x:c r="H48" s="12" t="str">
        <x:v>Yes</x:v>
      </x:c>
      <x:c r="I48" s="12" t="str">
        <x:v>No</x:v>
      </x:c>
    </x:row>
    <x:row r="49">
      <x:c r="A49" s="12" t="str">
        <x:v>GT-VAL-002-NEG</x:v>
      </x:c>
      <x:c r="B49" s="12" t="str">
        <x:v>VAL-002</x:v>
      </x:c>
      <x:c r="C49" s="12" t="str">
        <x:v>Negative / non-match</x:v>
      </x:c>
      <x:c r="D49" s="12" t="str">
        <x:v>Facts do not satisfy trigger for VAL-002</x:v>
      </x:c>
      <x:c r="E49" s="12" t="str">
        <x:v>Evaluate applicable rule set</x:v>
      </x:c>
      <x:c r="F49" s="12" t="str">
        <x:v>Rule must not fire / no unintended side effect</x:v>
      </x:c>
      <x:c r="G49" s="12" t="str">
        <x:v>—</x:v>
      </x:c>
      <x:c r="H49" s="12" t="str">
        <x:v>Yes</x:v>
      </x:c>
      <x:c r="I49" s="12" t="str">
        <x:v>No</x:v>
      </x:c>
    </x:row>
    <x:row r="50">
      <x:c r="A50" s="12" t="str">
        <x:v>GT-VAL-003</x:v>
      </x:c>
      <x:c r="B50" s="12" t="str">
        <x:v>VAL-003</x:v>
      </x:c>
      <x:c r="C50" s="12" t="str">
        <x:v>Positive / boundary</x:v>
      </x:c>
      <x:c r="D50" s="12" t="str">
        <x:v>Facts satisfy trigger for VAL-003</x:v>
      </x:c>
      <x:c r="E50" s="12" t="str">
        <x:v>Evaluate applicable rule set</x:v>
      </x:c>
      <x:c r="F50" s="12" t="str">
        <x:v>HARD_STOP</x:v>
      </x:c>
      <x:c r="G50" s="12" t="str">
        <x:v>QUOTE-SNAPSHOT</x:v>
      </x:c>
      <x:c r="H50" s="12" t="str">
        <x:v>Yes</x:v>
      </x:c>
      <x:c r="I50" s="12" t="str">
        <x:v>No</x:v>
      </x:c>
    </x:row>
    <x:row r="51">
      <x:c r="A51" s="12" t="str">
        <x:v>GT-VAL-003-NEG</x:v>
      </x:c>
      <x:c r="B51" s="12" t="str">
        <x:v>VAL-003</x:v>
      </x:c>
      <x:c r="C51" s="12" t="str">
        <x:v>Negative / non-match</x:v>
      </x:c>
      <x:c r="D51" s="12" t="str">
        <x:v>Facts do not satisfy trigger for VAL-003</x:v>
      </x:c>
      <x:c r="E51" s="12" t="str">
        <x:v>Evaluate applicable rule set</x:v>
      </x:c>
      <x:c r="F51" s="12" t="str">
        <x:v>Rule must not fire / no unintended side effect</x:v>
      </x:c>
      <x:c r="G51" s="12" t="str">
        <x:v>—</x:v>
      </x:c>
      <x:c r="H51" s="12" t="str">
        <x:v>Yes</x:v>
      </x:c>
      <x:c r="I51" s="12" t="str">
        <x:v>No</x:v>
      </x:c>
    </x:row>
    <x:row r="52">
      <x:c r="A52" s="12" t="str">
        <x:v>GT-VAL-004</x:v>
      </x:c>
      <x:c r="B52" s="12" t="str">
        <x:v>VAL-004</x:v>
      </x:c>
      <x:c r="C52" s="12" t="str">
        <x:v>Positive / boundary</x:v>
      </x:c>
      <x:c r="D52" s="12" t="str">
        <x:v>Facts satisfy trigger for VAL-004</x:v>
      </x:c>
      <x:c r="E52" s="12" t="str">
        <x:v>Evaluate applicable rule set</x:v>
      </x:c>
      <x:c r="F52" s="12" t="str">
        <x:v>HARD_STOP</x:v>
      </x:c>
      <x:c r="G52" s="12" t="str">
        <x:v>VERSION-CONFLICT</x:v>
      </x:c>
      <x:c r="H52" s="12" t="str">
        <x:v>Yes</x:v>
      </x:c>
      <x:c r="I52" s="12" t="str">
        <x:v>No</x:v>
      </x:c>
    </x:row>
    <x:row r="53">
      <x:c r="A53" s="12" t="str">
        <x:v>GT-VAL-004-NEG</x:v>
      </x:c>
      <x:c r="B53" s="12" t="str">
        <x:v>VAL-004</x:v>
      </x:c>
      <x:c r="C53" s="12" t="str">
        <x:v>Negative / non-match</x:v>
      </x:c>
      <x:c r="D53" s="12" t="str">
        <x:v>Facts do not satisfy trigger for VAL-004</x:v>
      </x:c>
      <x:c r="E53" s="12" t="str">
        <x:v>Evaluate applicable rule set</x:v>
      </x:c>
      <x:c r="F53" s="12" t="str">
        <x:v>Rule must not fire / no unintended side effect</x:v>
      </x:c>
      <x:c r="G53" s="12" t="str">
        <x:v>—</x:v>
      </x:c>
      <x:c r="H53" s="12" t="str">
        <x:v>Yes</x:v>
      </x:c>
      <x:c r="I53" s="12" t="str">
        <x:v>No</x:v>
      </x:c>
    </x:row>
    <x:row r="54">
      <x:c r="A54" s="12" t="str">
        <x:v>GT-VAL-005</x:v>
      </x:c>
      <x:c r="B54" s="12" t="str">
        <x:v>VAL-005</x:v>
      </x:c>
      <x:c r="C54" s="12" t="str">
        <x:v>Positive / boundary</x:v>
      </x:c>
      <x:c r="D54" s="12" t="str">
        <x:v>Facts satisfy trigger for VAL-005</x:v>
      </x:c>
      <x:c r="E54" s="12" t="str">
        <x:v>Evaluate applicable rule set</x:v>
      </x:c>
      <x:c r="F54" s="12" t="str">
        <x:v>HARD_STOP</x:v>
      </x:c>
      <x:c r="G54" s="12" t="str">
        <x:v>SEC-403</x:v>
      </x:c>
      <x:c r="H54" s="12" t="str">
        <x:v>Yes</x:v>
      </x:c>
      <x:c r="I54" s="12" t="str">
        <x:v>Yes</x:v>
      </x:c>
    </x:row>
    <x:row r="55">
      <x:c r="A55" s="12" t="str">
        <x:v>GT-VAL-005-NEG</x:v>
      </x:c>
      <x:c r="B55" s="12" t="str">
        <x:v>VAL-005</x:v>
      </x:c>
      <x:c r="C55" s="12" t="str">
        <x:v>Negative / non-match</x:v>
      </x:c>
      <x:c r="D55" s="12" t="str">
        <x:v>Facts do not satisfy trigger for VAL-005</x:v>
      </x:c>
      <x:c r="E55" s="12" t="str">
        <x:v>Evaluate applicable rule set</x:v>
      </x:c>
      <x:c r="F55" s="12" t="str">
        <x:v>Rule must not fire / no unintended side effect</x:v>
      </x:c>
      <x:c r="G55" s="12" t="str">
        <x:v>—</x:v>
      </x:c>
      <x:c r="H55" s="12" t="str">
        <x:v>Yes</x:v>
      </x:c>
      <x:c r="I55" s="12" t="str">
        <x:v>No</x:v>
      </x:c>
    </x:row>
    <x:row r="56">
      <x:c r="A56" s="12" t="str">
        <x:v>GT-WF-001</x:v>
      </x:c>
      <x:c r="B56" s="12" t="str">
        <x:v>WF-001</x:v>
      </x:c>
      <x:c r="C56" s="12" t="str">
        <x:v>Positive / boundary</x:v>
      </x:c>
      <x:c r="D56" s="12" t="str">
        <x:v>Facts satisfy trigger for WF-001</x:v>
      </x:c>
      <x:c r="E56" s="12" t="str">
        <x:v>Evaluate applicable rule set</x:v>
      </x:c>
      <x:c r="F56" s="12" t="str">
        <x:v>TRANSITION</x:v>
      </x:c>
      <x:c r="G56" s="12" t="str">
        <x:v>QUOTE.SUBMITTED</x:v>
      </x:c>
      <x:c r="H56" s="12" t="str">
        <x:v>Yes</x:v>
      </x:c>
      <x:c r="I56" s="12" t="str">
        <x:v>No</x:v>
      </x:c>
    </x:row>
    <x:row r="57">
      <x:c r="A57" s="12" t="str">
        <x:v>GT-WF-001-NEG</x:v>
      </x:c>
      <x:c r="B57" s="12" t="str">
        <x:v>WF-001</x:v>
      </x:c>
      <x:c r="C57" s="12" t="str">
        <x:v>Negative / non-match</x:v>
      </x:c>
      <x:c r="D57" s="12" t="str">
        <x:v>Facts do not satisfy trigger for WF-001</x:v>
      </x:c>
      <x:c r="E57" s="12" t="str">
        <x:v>Evaluate applicable rule set</x:v>
      </x:c>
      <x:c r="F57" s="12" t="str">
        <x:v>Rule must not fire / no unintended side effect</x:v>
      </x:c>
      <x:c r="G57" s="12" t="str">
        <x:v>—</x:v>
      </x:c>
      <x:c r="H57" s="12" t="str">
        <x:v>Yes</x:v>
      </x:c>
      <x:c r="I57" s="12" t="str">
        <x:v>No</x:v>
      </x:c>
    </x:row>
    <x:row r="58">
      <x:c r="A58" s="12" t="str">
        <x:v>GT-WF-002</x:v>
      </x:c>
      <x:c r="B58" s="12" t="str">
        <x:v>WF-002</x:v>
      </x:c>
      <x:c r="C58" s="12" t="str">
        <x:v>Positive / boundary</x:v>
      </x:c>
      <x:c r="D58" s="12" t="str">
        <x:v>Facts satisfy trigger for WF-002</x:v>
      </x:c>
      <x:c r="E58" s="12" t="str">
        <x:v>Evaluate applicable rule set</x:v>
      </x:c>
      <x:c r="F58" s="12" t="str">
        <x:v>HARD_STOP</x:v>
      </x:c>
      <x:c r="G58" s="12" t="str">
        <x:v>QUOTE-STATE</x:v>
      </x:c>
      <x:c r="H58" s="12" t="str">
        <x:v>Yes</x:v>
      </x:c>
      <x:c r="I58" s="12" t="str">
        <x:v>No</x:v>
      </x:c>
    </x:row>
    <x:row r="59">
      <x:c r="A59" s="12" t="str">
        <x:v>GT-WF-002-NEG</x:v>
      </x:c>
      <x:c r="B59" s="12" t="str">
        <x:v>WF-002</x:v>
      </x:c>
      <x:c r="C59" s="12" t="str">
        <x:v>Negative / non-match</x:v>
      </x:c>
      <x:c r="D59" s="12" t="str">
        <x:v>Facts do not satisfy trigger for WF-002</x:v>
      </x:c>
      <x:c r="E59" s="12" t="str">
        <x:v>Evaluate applicable rule set</x:v>
      </x:c>
      <x:c r="F59" s="12" t="str">
        <x:v>Rule must not fire / no unintended side effect</x:v>
      </x:c>
      <x:c r="G59" s="12" t="str">
        <x:v>—</x:v>
      </x:c>
      <x:c r="H59" s="12" t="str">
        <x:v>Yes</x:v>
      </x:c>
      <x:c r="I59" s="12" t="str">
        <x:v>No</x:v>
      </x:c>
    </x:row>
    <x:row r="60">
      <x:c r="A60" s="12" t="str">
        <x:v>GT-WF-003</x:v>
      </x:c>
      <x:c r="B60" s="12" t="str">
        <x:v>WF-003</x:v>
      </x:c>
      <x:c r="C60" s="12" t="str">
        <x:v>Positive / boundary</x:v>
      </x:c>
      <x:c r="D60" s="12" t="str">
        <x:v>Facts satisfy trigger for WF-003</x:v>
      </x:c>
      <x:c r="E60" s="12" t="str">
        <x:v>Evaluate applicable rule set</x:v>
      </x:c>
      <x:c r="F60" s="12" t="str">
        <x:v>HARD_STOP</x:v>
      </x:c>
      <x:c r="G60" s="12" t="str">
        <x:v>SEC-403</x:v>
      </x:c>
      <x:c r="H60" s="12" t="str">
        <x:v>Yes</x:v>
      </x:c>
      <x:c r="I60" s="12" t="str">
        <x:v>Yes</x:v>
      </x:c>
    </x:row>
    <x:row r="61">
      <x:c r="A61" s="12" t="str">
        <x:v>GT-WF-003-NEG</x:v>
      </x:c>
      <x:c r="B61" s="12" t="str">
        <x:v>WF-003</x:v>
      </x:c>
      <x:c r="C61" s="12" t="str">
        <x:v>Negative / non-match</x:v>
      </x:c>
      <x:c r="D61" s="12" t="str">
        <x:v>Facts do not satisfy trigger for WF-003</x:v>
      </x:c>
      <x:c r="E61" s="12" t="str">
        <x:v>Evaluate applicable rule set</x:v>
      </x:c>
      <x:c r="F61" s="12" t="str">
        <x:v>Rule must not fire / no unintended side effect</x:v>
      </x:c>
      <x:c r="G61" s="12" t="str">
        <x:v>—</x:v>
      </x:c>
      <x:c r="H61" s="12" t="str">
        <x:v>Yes</x:v>
      </x:c>
      <x:c r="I61" s="12" t="str">
        <x:v>No</x:v>
      </x:c>
    </x:row>
    <x:row r="62">
      <x:c r="A62" s="12" t="str">
        <x:v>GT-WF-004</x:v>
      </x:c>
      <x:c r="B62" s="12" t="str">
        <x:v>WF-004</x:v>
      </x:c>
      <x:c r="C62" s="12" t="str">
        <x:v>Positive / boundary</x:v>
      </x:c>
      <x:c r="D62" s="12" t="str">
        <x:v>Facts satisfy trigger for WF-004</x:v>
      </x:c>
      <x:c r="E62" s="12" t="str">
        <x:v>Evaluate applicable rule set</x:v>
      </x:c>
      <x:c r="F62" s="12" t="str">
        <x:v>HARD_STOP</x:v>
      </x:c>
      <x:c r="G62" s="12" t="str">
        <x:v>AUTHORITY-EXCEEDED</x:v>
      </x:c>
      <x:c r="H62" s="12" t="str">
        <x:v>Yes</x:v>
      </x:c>
      <x:c r="I62" s="12" t="str">
        <x:v>No</x:v>
      </x:c>
    </x:row>
    <x:row r="63">
      <x:c r="A63" s="12" t="str">
        <x:v>GT-WF-004-NEG</x:v>
      </x:c>
      <x:c r="B63" s="12" t="str">
        <x:v>WF-004</x:v>
      </x:c>
      <x:c r="C63" s="12" t="str">
        <x:v>Negative / non-match</x:v>
      </x:c>
      <x:c r="D63" s="12" t="str">
        <x:v>Facts do not satisfy trigger for WF-004</x:v>
      </x:c>
      <x:c r="E63" s="12" t="str">
        <x:v>Evaluate applicable rule set</x:v>
      </x:c>
      <x:c r="F63" s="12" t="str">
        <x:v>Rule must not fire / no unintended side effect</x:v>
      </x:c>
      <x:c r="G63" s="12" t="str">
        <x:v>—</x:v>
      </x:c>
      <x:c r="H63" s="12" t="str">
        <x:v>Yes</x:v>
      </x:c>
      <x:c r="I63" s="12" t="str">
        <x:v>No</x:v>
      </x:c>
    </x:row>
    <x:row r="64">
      <x:c r="A64" s="12" t="str">
        <x:v>GT-WF-005</x:v>
      </x:c>
      <x:c r="B64" s="12" t="str">
        <x:v>WF-005</x:v>
      </x:c>
      <x:c r="C64" s="12" t="str">
        <x:v>Positive / boundary</x:v>
      </x:c>
      <x:c r="D64" s="12" t="str">
        <x:v>Facts satisfy trigger for WF-005</x:v>
      </x:c>
      <x:c r="E64" s="12" t="str">
        <x:v>Evaluate applicable rule set</x:v>
      </x:c>
      <x:c r="F64" s="12" t="str">
        <x:v>TRANSITION</x:v>
      </x:c>
      <x:c r="G64" s="12" t="str">
        <x:v>QUOTE.APPROVED</x:v>
      </x:c>
      <x:c r="H64" s="12" t="str">
        <x:v>Yes</x:v>
      </x:c>
      <x:c r="I64" s="12" t="str">
        <x:v>No</x:v>
      </x:c>
    </x:row>
    <x:row r="65">
      <x:c r="A65" s="12" t="str">
        <x:v>GT-WF-005-NEG</x:v>
      </x:c>
      <x:c r="B65" s="12" t="str">
        <x:v>WF-005</x:v>
      </x:c>
      <x:c r="C65" s="12" t="str">
        <x:v>Negative / non-match</x:v>
      </x:c>
      <x:c r="D65" s="12" t="str">
        <x:v>Facts do not satisfy trigger for WF-005</x:v>
      </x:c>
      <x:c r="E65" s="12" t="str">
        <x:v>Evaluate applicable rule set</x:v>
      </x:c>
      <x:c r="F65" s="12" t="str">
        <x:v>Rule must not fire / no unintended side effect</x:v>
      </x:c>
      <x:c r="G65" s="12" t="str">
        <x:v>—</x:v>
      </x:c>
      <x:c r="H65" s="12" t="str">
        <x:v>Yes</x:v>
      </x:c>
      <x:c r="I65" s="12" t="str">
        <x:v>No</x:v>
      </x:c>
    </x:row>
    <x:row r="66">
      <x:c r="A66" s="12" t="str">
        <x:v>GT-WF-006</x:v>
      </x:c>
      <x:c r="B66" s="12" t="str">
        <x:v>WF-006</x:v>
      </x:c>
      <x:c r="C66" s="12" t="str">
        <x:v>Positive / boundary</x:v>
      </x:c>
      <x:c r="D66" s="12" t="str">
        <x:v>Facts satisfy trigger for WF-006</x:v>
      </x:c>
      <x:c r="E66" s="12" t="str">
        <x:v>Evaluate applicable rule set</x:v>
      </x:c>
      <x:c r="F66" s="12" t="str">
        <x:v>TRANSITION</x:v>
      </x:c>
      <x:c r="G66" s="12" t="str">
        <x:v>QUOTE.REJECTED</x:v>
      </x:c>
      <x:c r="H66" s="12" t="str">
        <x:v>Yes</x:v>
      </x:c>
      <x:c r="I66" s="12" t="str">
        <x:v>No</x:v>
      </x:c>
    </x:row>
    <x:row r="67">
      <x:c r="A67" s="12" t="str">
        <x:v>GT-WF-006-NEG</x:v>
      </x:c>
      <x:c r="B67" s="12" t="str">
        <x:v>WF-006</x:v>
      </x:c>
      <x:c r="C67" s="12" t="str">
        <x:v>Negative / non-match</x:v>
      </x:c>
      <x:c r="D67" s="12" t="str">
        <x:v>Facts do not satisfy trigger for WF-006</x:v>
      </x:c>
      <x:c r="E67" s="12" t="str">
        <x:v>Evaluate applicable rule set</x:v>
      </x:c>
      <x:c r="F67" s="12" t="str">
        <x:v>Rule must not fire / no unintended side effect</x:v>
      </x:c>
      <x:c r="G67" s="12" t="str">
        <x:v>—</x:v>
      </x:c>
      <x:c r="H67" s="12" t="str">
        <x:v>Yes</x:v>
      </x:c>
      <x:c r="I67" s="12" t="str">
        <x:v>No</x:v>
      </x:c>
    </x:row>
    <x:row r="68">
      <x:c r="A68" s="12" t="str">
        <x:v>GT-WF-007</x:v>
      </x:c>
      <x:c r="B68" s="12" t="str">
        <x:v>WF-007</x:v>
      </x:c>
      <x:c r="C68" s="12" t="str">
        <x:v>Positive / boundary</x:v>
      </x:c>
      <x:c r="D68" s="12" t="str">
        <x:v>Facts satisfy trigger for WF-007</x:v>
      </x:c>
      <x:c r="E68" s="12" t="str">
        <x:v>Evaluate applicable rule set</x:v>
      </x:c>
      <x:c r="F68" s="12" t="str">
        <x:v>TRANSITION</x:v>
      </x:c>
      <x:c r="G68" s="12" t="str">
        <x:v>QUOTE.RETURNED</x:v>
      </x:c>
      <x:c r="H68" s="12" t="str">
        <x:v>Yes</x:v>
      </x:c>
      <x:c r="I68" s="12" t="str">
        <x:v>No</x:v>
      </x:c>
    </x:row>
    <x:row r="69">
      <x:c r="A69" s="12" t="str">
        <x:v>GT-WF-007-NEG</x:v>
      </x:c>
      <x:c r="B69" s="12" t="str">
        <x:v>WF-007</x:v>
      </x:c>
      <x:c r="C69" s="12" t="str">
        <x:v>Negative / non-match</x:v>
      </x:c>
      <x:c r="D69" s="12" t="str">
        <x:v>Facts do not satisfy trigger for WF-007</x:v>
      </x:c>
      <x:c r="E69" s="12" t="str">
        <x:v>Evaluate applicable rule set</x:v>
      </x:c>
      <x:c r="F69" s="12" t="str">
        <x:v>Rule must not fire / no unintended side effect</x:v>
      </x:c>
      <x:c r="G69" s="12" t="str">
        <x:v>—</x:v>
      </x:c>
      <x:c r="H69" s="12" t="str">
        <x:v>Yes</x:v>
      </x:c>
      <x:c r="I69" s="12" t="str">
        <x:v>No</x:v>
      </x:c>
    </x:row>
    <x:row r="70">
      <x:c r="A70" s="12" t="str">
        <x:v>GT-WF-008</x:v>
      </x:c>
      <x:c r="B70" s="12" t="str">
        <x:v>WF-008</x:v>
      </x:c>
      <x:c r="C70" s="12" t="str">
        <x:v>Positive / boundary</x:v>
      </x:c>
      <x:c r="D70" s="12" t="str">
        <x:v>Facts satisfy trigger for WF-008</x:v>
      </x:c>
      <x:c r="E70" s="12" t="str">
        <x:v>Evaluate applicable rule set</x:v>
      </x:c>
      <x:c r="F70" s="12" t="str">
        <x:v>ALLOW</x:v>
      </x:c>
      <x:c r="G70" s="12" t="str">
        <x:v>DOCUMENT.GENERATION.REQUESTED</x:v>
      </x:c>
      <x:c r="H70" s="12" t="str">
        <x:v>Yes</x:v>
      </x:c>
      <x:c r="I70" s="12" t="str">
        <x:v>No</x:v>
      </x:c>
    </x:row>
    <x:row r="71">
      <x:c r="A71" s="12" t="str">
        <x:v>GT-WF-008-NEG</x:v>
      </x:c>
      <x:c r="B71" s="12" t="str">
        <x:v>WF-008</x:v>
      </x:c>
      <x:c r="C71" s="12" t="str">
        <x:v>Negative / non-match</x:v>
      </x:c>
      <x:c r="D71" s="12" t="str">
        <x:v>Facts do not satisfy trigger for WF-008</x:v>
      </x:c>
      <x:c r="E71" s="12" t="str">
        <x:v>Evaluate applicable rule set</x:v>
      </x:c>
      <x:c r="F71" s="12" t="str">
        <x:v>Rule must not fire / no unintended side effect</x:v>
      </x:c>
      <x:c r="G71" s="12" t="str">
        <x:v>—</x:v>
      </x:c>
      <x:c r="H71" s="12" t="str">
        <x:v>Yes</x:v>
      </x:c>
      <x:c r="I71" s="12" t="str">
        <x:v>No</x:v>
      </x:c>
    </x:row>
    <x:row r="72">
      <x:c r="A72" s="12" t="str">
        <x:v>GT-WF-009</x:v>
      </x:c>
      <x:c r="B72" s="12" t="str">
        <x:v>WF-009</x:v>
      </x:c>
      <x:c r="C72" s="12" t="str">
        <x:v>Positive / boundary</x:v>
      </x:c>
      <x:c r="D72" s="12" t="str">
        <x:v>Facts satisfy trigger for WF-009</x:v>
      </x:c>
      <x:c r="E72" s="12" t="str">
        <x:v>Evaluate applicable rule set</x:v>
      </x:c>
      <x:c r="F72" s="12" t="str">
        <x:v>TRANSITION</x:v>
      </x:c>
      <x:c r="G72" s="12" t="str">
        <x:v>QUOTE.CANCELLED</x:v>
      </x:c>
      <x:c r="H72" s="12" t="str">
        <x:v>Yes</x:v>
      </x:c>
      <x:c r="I72" s="12" t="str">
        <x:v>No</x:v>
      </x:c>
    </x:row>
    <x:row r="73">
      <x:c r="A73" s="12" t="str">
        <x:v>GT-WF-009-NEG</x:v>
      </x:c>
      <x:c r="B73" s="12" t="str">
        <x:v>WF-009</x:v>
      </x:c>
      <x:c r="C73" s="12" t="str">
        <x:v>Negative / non-match</x:v>
      </x:c>
      <x:c r="D73" s="12" t="str">
        <x:v>Facts do not satisfy trigger for WF-009</x:v>
      </x:c>
      <x:c r="E73" s="12" t="str">
        <x:v>Evaluate applicable rule set</x:v>
      </x:c>
      <x:c r="F73" s="12" t="str">
        <x:v>Rule must not fire / no unintended side effect</x:v>
      </x:c>
      <x:c r="G73" s="12" t="str">
        <x:v>—</x:v>
      </x:c>
      <x:c r="H73" s="12" t="str">
        <x:v>Yes</x:v>
      </x:c>
      <x:c r="I73" s="12" t="str">
        <x:v>No</x:v>
      </x:c>
    </x:row>
    <x:row r="74">
      <x:c r="A74" s="12" t="str">
        <x:v>GT-WF-010</x:v>
      </x:c>
      <x:c r="B74" s="12" t="str">
        <x:v>WF-010</x:v>
      </x:c>
      <x:c r="C74" s="12" t="str">
        <x:v>Positive / boundary</x:v>
      </x:c>
      <x:c r="D74" s="12" t="str">
        <x:v>Facts satisfy trigger for WF-010</x:v>
      </x:c>
      <x:c r="E74" s="12" t="str">
        <x:v>Evaluate applicable rule set</x:v>
      </x:c>
      <x:c r="F74" s="12" t="str">
        <x:v>TRANSITION</x:v>
      </x:c>
      <x:c r="G74" s="12" t="str">
        <x:v>QUOTE.EXPIRED</x:v>
      </x:c>
      <x:c r="H74" s="12" t="str">
        <x:v>Yes</x:v>
      </x:c>
      <x:c r="I74" s="12" t="str">
        <x:v>No</x:v>
      </x:c>
    </x:row>
    <x:row r="75">
      <x:c r="A75" s="12" t="str">
        <x:v>GT-WF-010-NEG</x:v>
      </x:c>
      <x:c r="B75" s="12" t="str">
        <x:v>WF-010</x:v>
      </x:c>
      <x:c r="C75" s="12" t="str">
        <x:v>Negative / non-match</x:v>
      </x:c>
      <x:c r="D75" s="12" t="str">
        <x:v>Facts do not satisfy trigger for WF-010</x:v>
      </x:c>
      <x:c r="E75" s="12" t="str">
        <x:v>Evaluate applicable rule set</x:v>
      </x:c>
      <x:c r="F75" s="12" t="str">
        <x:v>Rule must not fire / no unintended side effect</x:v>
      </x:c>
      <x:c r="G75" s="12" t="str">
        <x:v>—</x:v>
      </x:c>
      <x:c r="H75" s="12" t="str">
        <x:v>Yes</x:v>
      </x:c>
      <x:c r="I75" s="12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2fa6ee232a43447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Metric</x:v>
      </x:c>
      <x:c r="B1" s="5" t="str">
        <x:v>Eligibility</x:v>
      </x:c>
      <x:c r="C1" s="5" t="str">
        <x:v>Pricing</x:v>
      </x:c>
      <x:c r="D1" s="5" t="str">
        <x:v>Validation</x:v>
      </x:c>
      <x:c r="E1" s="5" t="str">
        <x:v>Workflow</x:v>
      </x:c>
      <x:c r="F1" s="5" t="str">
        <x:v>Total</x:v>
      </x:c>
    </x:row>
    <x:row r="2">
      <x:c r="A2" s="12" t="str">
        <x:v>Rules</x:v>
      </x:c>
      <x:c r="B2" s="12" t="n">
        <x:f>COUNTIF('Rule Matrix'!$B$2:$B$38,"Eligibility")</x:f>
        <x:v>10</x:v>
      </x:c>
      <x:c r="C2" s="12" t="n">
        <x:f>COUNTIF('Rule Matrix'!$B$2:$B$38,"Pricing")</x:f>
        <x:v>12</x:v>
      </x:c>
      <x:c r="D2" s="12" t="n">
        <x:f>COUNTIF('Rule Matrix'!$B$2:$B$38,"Validation")</x:f>
        <x:v>5</x:v>
      </x:c>
      <x:c r="E2" s="12" t="n">
        <x:f>COUNTIF('Rule Matrix'!$B$2:$B$38,"Workflow")</x:f>
        <x:v>10</x:v>
      </x:c>
      <x:c r="F2" s="12" t="n">
        <x:f>SUM(B2:E2)</x:f>
        <x:v>37</x:v>
      </x:c>
    </x:row>
    <x:row r="3">
      <x:c r="A3" s="12" t="str">
        <x:v>Draft</x:v>
      </x:c>
      <x:c r="B3" s="12" t="n">
        <x:f>COUNTIFS('Rule Matrix'!$B$2:$B$38,"Eligibility",'Rule Matrix'!$E$2:$E$38,"DRAFT")</x:f>
        <x:v>6</x:v>
      </x:c>
      <x:c r="C3" s="12" t="n">
        <x:f>COUNTIFS('Rule Matrix'!$B$2:$B$38,"Pricing",'Rule Matrix'!$E$2:$E$38,"DRAFT")</x:f>
        <x:v>6</x:v>
      </x:c>
      <x:c r="D3" s="12" t="n">
        <x:f>COUNTIFS('Rule Matrix'!$B$2:$B$38,"Validation",'Rule Matrix'!$E$2:$E$38,"DRAFT")</x:f>
        <x:v>0</x:v>
      </x:c>
      <x:c r="E3" s="12" t="n">
        <x:f>COUNTIFS('Rule Matrix'!$B$2:$B$38,"Workflow",'Rule Matrix'!$E$2:$E$38,"DRAFT")</x:f>
        <x:v>3</x:v>
      </x:c>
      <x:c r="F3" s="12" t="n">
        <x:f>SUM(B3:E3)</x:f>
        <x:v>15</x:v>
      </x:c>
    </x:row>
    <x:row r="4">
      <x:c r="A4" s="12" t="str">
        <x:v>Published-Candidate</x:v>
      </x:c>
      <x:c r="B4" s="12" t="n">
        <x:f>COUNTIFS('Rule Matrix'!$B$2:$B$38,"Eligibility",'Rule Matrix'!$E$2:$E$38,"PUBLISHED-CANDIDATE")</x:f>
        <x:v>4</x:v>
      </x:c>
      <x:c r="C4" s="12" t="n">
        <x:f>COUNTIFS('Rule Matrix'!$B$2:$B$38,"Pricing",'Rule Matrix'!$E$2:$E$38,"PUBLISHED-CANDIDATE")</x:f>
        <x:v>6</x:v>
      </x:c>
      <x:c r="D4" s="12" t="n">
        <x:f>COUNTIFS('Rule Matrix'!$B$2:$B$38,"Validation",'Rule Matrix'!$E$2:$E$38,"PUBLISHED-CANDIDATE")</x:f>
        <x:v>5</x:v>
      </x:c>
      <x:c r="E4" s="12" t="n">
        <x:f>COUNTIFS('Rule Matrix'!$B$2:$B$38,"Workflow",'Rule Matrix'!$E$2:$E$38,"PUBLISHED-CANDIDATE")</x:f>
        <x:v>7</x:v>
      </x:c>
      <x:c r="F4" s="12" t="n">
        <x:f>SUM(B4:E4)</x:f>
        <x:v>22</x:v>
      </x:c>
    </x:row>
    <x:row r="5">
      <x:c r="A5" s="12" t="str">
        <x:v>Configurable</x:v>
      </x:c>
      <x:c r="B5" s="12" t="n">
        <x:f>COUNTIFS('Rule Matrix'!$B$2:$B$38,"Eligibility",'Rule Matrix'!$O$2:$O$38,"Yes")</x:f>
        <x:v>6</x:v>
      </x:c>
      <x:c r="C5" s="12" t="n">
        <x:f>COUNTIFS('Rule Matrix'!$B$2:$B$38,"Pricing",'Rule Matrix'!$O$2:$O$38,"Yes")</x:f>
        <x:v>6</x:v>
      </x:c>
      <x:c r="D5" s="12" t="n">
        <x:f>COUNTIFS('Rule Matrix'!$B$2:$B$38,"Validation",'Rule Matrix'!$O$2:$O$38,"Yes")</x:f>
        <x:v>0</x:v>
      </x:c>
      <x:c r="E5" s="12" t="n">
        <x:f>COUNTIFS('Rule Matrix'!$B$2:$B$38,"Workflow",'Rule Matrix'!$O$2:$O$38,"Yes")</x:f>
        <x:v>4</x:v>
      </x:c>
      <x:c r="F5" s="12" t="n">
        <x:f>SUM(B5:E5)</x:f>
        <x:v>16</x:v>
      </x:c>
    </x:row>
    <x:row r="6">
      <x:c r="A6" s="12" t="str">
        <x:v>Emits Event</x:v>
      </x:c>
      <x:c r="B6" s="12" t="n">
        <x:f>COUNTIFS('Rule Matrix'!$B$2:$B$38,"Eligibility",'Rule Matrix'!$N$2:$N$38,"Yes")</x:f>
        <x:v>1</x:v>
      </x:c>
      <x:c r="C6" s="12" t="n">
        <x:f>COUNTIFS('Rule Matrix'!$B$2:$B$38,"Pricing",'Rule Matrix'!$N$2:$N$38,"Yes")</x:f>
        <x:v>0</x:v>
      </x:c>
      <x:c r="D6" s="12" t="n">
        <x:f>COUNTIFS('Rule Matrix'!$B$2:$B$38,"Validation",'Rule Matrix'!$N$2:$N$38,"Yes")</x:f>
        <x:v>0</x:v>
      </x:c>
      <x:c r="E6" s="12" t="n">
        <x:f>COUNTIFS('Rule Matrix'!$B$2:$B$38,"Workflow",'Rule Matrix'!$N$2:$N$38,"Yes")</x:f>
        <x:v>7</x:v>
      </x:c>
      <x:c r="F6" s="12" t="n">
        <x:f>SUM(B6:E6)</x:f>
        <x:v>8</x:v>
      </x:c>
    </x:row>
  </x:sheetData>
  <x:pageMargins left="0.7" right="0.7" top="0.75" bottom="0.75" header="0.3" footer="0.3"/>
  <x:drawing xmlns:r="http://schemas.openxmlformats.org/officeDocument/2006/relationships" r:id="R8d5e6b145c19400b"/>
</x:worksheet>
</file>