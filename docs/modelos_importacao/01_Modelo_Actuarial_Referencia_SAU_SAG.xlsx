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_Premissas" sheetId="1" state="visible" r:id="rId3"/>
    <sheet name="Matriz_SAU" sheetId="2" state="visible" r:id="rId4"/>
    <sheet name="Matriz_SAG" sheetId="3" state="visible" r:id="rId5"/>
    <sheet name="Regras_Ajustes" sheetId="4" state="visible" r:id="rId6"/>
    <sheet name="Calculador" sheetId="5" state="visible" r:id="rId7"/>
    <sheet name="Listas" sheetId="6" state="visible" r:id="rId8"/>
  </sheets>
  <definedNames>
    <definedName function="false" hidden="true" localSheetId="0" name="_xlnm._FilterDatabase" vbProcedure="false">Dashboard_Premissas!$B$78:$O$95</definedName>
    <definedName function="false" hidden="true" localSheetId="2" name="_xlnm._FilterDatabase" vbProcedure="false">Matriz_SAG!$A$5:$AB$56</definedName>
    <definedName function="false" hidden="true" localSheetId="1" name="_xlnm._FilterDatabase" vbProcedure="false">Matriz_SAU!$A$5:$AB$56</definedName>
    <definedName function="false" hidden="true" localSheetId="3" name="_xlnm._FilterDatabase" vbProcedure="false">Regras_Ajustes!$B$64:$E$75</definedName>
    <definedName function="false" hidden="false" name="adh_obrig" vbProcedure="false">Matriz_SAG!$D$108</definedName>
    <definedName function="false" hidden="false" name="AgeAd_Agr" vbProcedure="false">Regras_Ajustes!$C$79:$C$83</definedName>
    <definedName function="false" hidden="false" name="AgeAd_Dec" vbProcedure="false">Regras_Ajustes!$D$79:$D$83</definedName>
    <definedName function="false" hidden="false" name="AgeAd_Min" vbProcedure="false">Regras_Ajustes!$B$79:$B$83</definedName>
    <definedName function="false" hidden="false" name="Agreg_Desc" vbProcedure="false">Regras_Ajustes!$C$88:$C$91</definedName>
    <definedName function="false" hidden="false" name="Agreg_Min" vbProcedure="false">Regras_Ajustes!$B$88:$B$91</definedName>
    <definedName function="false" hidden="false" name="arseg_SAG" vbProcedure="false">Dashboard_Premissas!$E$56</definedName>
    <definedName function="false" hidden="false" name="arseg_SAU" vbProcedure="false">Dashboard_Premissas!$D$56</definedName>
    <definedName function="false" hidden="false" name="Clin_Agr" vbProcedure="false">Regras_Ajustes!$C$58:$C$62</definedName>
    <definedName function="false" hidden="false" name="Clin_Dec" vbProcedure="false">Regras_Ajustes!$D$58:$D$62</definedName>
    <definedName function="false" hidden="false" name="Clin_Nome" vbProcedure="false">Regras_Ajustes!$B$58:$B$62</definedName>
    <definedName function="false" hidden="false" name="Comp_Adj" vbProcedure="false">Regras_Ajustes!$F$30:$F$33</definedName>
    <definedName function="false" hidden="false" name="Comp_Val" vbProcedure="false">Regras_Ajustes!$B$30:$B$33</definedName>
    <definedName function="false" hidden="false" name="Copay_Adj" vbProcedure="false">Regras_Ajustes!$H$24:$H$27</definedName>
    <definedName function="false" hidden="false" name="Copay_Val" vbProcedure="false">Regras_Ajustes!$B$24:$B$27</definedName>
    <definedName function="false" hidden="false" name="Cov_Cod" vbProcedure="false">Dashboard_Premissas!$C$79:$C$95</definedName>
    <definedName function="false" hidden="false" name="Cov_CV" vbProcedure="false">Dashboard_Premissas!$M$79:$M$95</definedName>
    <definedName function="false" hidden="false" name="Cov_FR" vbProcedure="false">Dashboard_Premissas!$N$79:$N$95</definedName>
    <definedName function="false" hidden="false" name="Cov_Grupo" vbProcedure="false">Dashboard_Premissas!$D$79:$D$95</definedName>
    <definedName function="false" hidden="false" name="Cov_Lambda" vbProcedure="false">Dashboard_Premissas!$G$79:$G$95</definedName>
    <definedName function="false" hidden="false" name="Cov_Mu" vbProcedure="false">Dashboard_Premissas!$L$79:$L$95</definedName>
    <definedName function="false" hidden="false" name="Cov_Nome" vbProcedure="false">Dashboard_Premissas!$B$79:$B$95</definedName>
    <definedName function="false" hidden="false" name="Cov_Rede" vbProcedure="false">Dashboard_Premissas!$K$79:$K$95</definedName>
    <definedName function="false" hidden="false" name="cpi" vbProcedure="false">Dashboard_Premissas!$D$40</definedName>
    <definedName function="false" hidden="false" name="Cross_Desc" vbProcedure="false">Regras_Ajustes!$C$94:$C$98</definedName>
    <definedName function="false" hidden="false" name="Cross_Nome" vbProcedure="false">Regras_Ajustes!$B$94:$B$98</definedName>
    <definedName function="false" hidden="false" name="desc_max" vbProcedure="false">Regras_Ajustes!$C$101</definedName>
    <definedName function="false" hidden="false" name="desc_renov" vbProcedure="false">Regras_Ajustes!$C$100</definedName>
    <definedName function="false" hidden="false" name="dt_base" vbProcedure="false">Dashboard_Premissas!$D$38</definedName>
    <definedName function="false" hidden="false" name="ea_SAG" vbProcedure="false">Dashboard_Premissas!$E$51</definedName>
    <definedName function="false" hidden="false" name="ea_SAU" vbProcedure="false">Dashboard_Premissas!$D$51</definedName>
    <definedName function="false" hidden="false" name="ec_SAG" vbProcedure="false">Dashboard_Premissas!$E$52</definedName>
    <definedName function="false" hidden="false" name="ec_SAU" vbProcedure="false">Dashboard_Premissas!$D$52</definedName>
    <definedName function="false" hidden="false" name="evac_usd" vbProcedure="false">Dashboard_Premissas!$D$106</definedName>
    <definedName function="false" hidden="false" name="Exp_Band" vbProcedure="false">Dashboard_Premissas!$B$69:$B$73</definedName>
    <definedName function="false" hidden="false" name="Exp_F" vbProcedure="false">Dashboard_Premissas!$F$69:$F$73</definedName>
    <definedName function="false" hidden="false" name="Exp_M" vbProcedure="false">Dashboard_Premissas!$E$69:$E$73</definedName>
    <definedName function="false" hidden="false" name="Exp_Min" vbProcedure="false">Dashboard_Premissas!$C$69:$C$73</definedName>
    <definedName function="false" hidden="false" name="FA_Adj" vbProcedure="false">Regras_Ajustes!$F$36:$F$39</definedName>
    <definedName function="false" hidden="false" name="FA_Val" vbProcedure="false">Regras_Ajustes!$B$36:$B$39</definedName>
    <definedName function="false" hidden="false" name="FI_Adj" vbProcedure="false">Regras_Ajustes!$F$42:$F$45</definedName>
    <definedName function="false" hidden="false" name="FI_Val" vbProcedure="false">Regras_Ajustes!$B$42:$B$45</definedName>
    <definedName function="false" hidden="false" name="Frac_Enc" vbProcedure="false">Dashboard_Premissas!$D$61:$D$64</definedName>
    <definedName function="false" hidden="false" name="Frac_N" vbProcedure="false">Dashboard_Premissas!$C$61:$C$64</definedName>
    <definedName function="false" hidden="false" name="Frac_Nome" vbProcedure="false">Dashboard_Premissas!$B$61:$B$64</definedName>
    <definedName function="false" hidden="false" name="fx_comp" vbProcedure="false">Dashboard_Premissas!$D$42</definedName>
    <definedName function="false" hidden="false" name="fx_usd" vbProcedure="false">Dashboard_Premissas!$D$39</definedName>
    <definedName function="false" hidden="false" name="f_trend" vbProcedure="false">Dashboard_Premissas!$D$45</definedName>
    <definedName function="false" hidden="false" name="g_cross" vbProcedure="false">Matriz_SAG!$C$129</definedName>
    <definedName function="false" hidden="false" name="g_n" vbProcedure="false">Matriz_SAG!$C$124</definedName>
    <definedName function="false" hidden="false" name="g_part" vbProcedure="false">Matriz_SAG!$C$126</definedName>
    <definedName function="false" hidden="false" name="g_reg" vbProcedure="false">Matriz_SAG!$C$125</definedName>
    <definedName function="false" hidden="false" name="g_regiao" vbProcedure="false">Matriz_SAG!$C$128</definedName>
    <definedName function="false" hidden="false" name="g_sec" vbProcedure="false">Matriz_SAG!$C$127</definedName>
    <definedName function="false" hidden="false" name="hemo_L" vbProcedure="false">Dashboard_Premissas!$D$105</definedName>
    <definedName function="false" hidden="false" name="hemo_R" vbProcedure="false">Dashboard_Premissas!$D$104</definedName>
    <definedName function="false" hidden="false" name="hemo_ses" vbProcedure="false">Dashboard_Premissas!$D$103</definedName>
    <definedName function="false" hidden="false" name="is_SAG" vbProcedure="false">Dashboard_Premissas!$E$55</definedName>
    <definedName function="false" hidden="false" name="is_SAU" vbProcedure="false">Dashboard_Premissas!$D$55</definedName>
    <definedName function="false" hidden="false" name="load_SAG" vbProcedure="false">Dashboard_Premissas!$E$54</definedName>
    <definedName function="false" hidden="false" name="load_SAU" vbProcedure="false">Dashboard_Premissas!$D$54</definedName>
    <definedName function="false" hidden="false" name="los_cir" vbProcedure="false">Dashboard_Premissas!$D$108</definedName>
    <definedName function="false" hidden="false" name="los_int" vbProcedure="false">Dashboard_Premissas!$D$107</definedName>
    <definedName function="false" hidden="false" name="Map_Cat" vbProcedure="false">Listas!$C$2:$C$4</definedName>
    <definedName function="false" hidden="false" name="Map_Plan" vbProcedure="false">Listas!$B$2:$B$4</definedName>
    <definedName function="false" hidden="false" name="med_excess" vbProcedure="false">Dashboard_Premissas!$D$41</definedName>
    <definedName function="false" hidden="false" name="med_trend" vbProcedure="false">Dashboard_Premissas!$D$43</definedName>
    <definedName function="false" hidden="false" name="m_SAG" vbProcedure="false">Dashboard_Premissas!$E$53</definedName>
    <definedName function="false" hidden="false" name="m_SAU" vbProcedure="false">Dashboard_Premissas!$D$53</definedName>
    <definedName function="false" hidden="false" name="Part_F" vbProcedure="false">Matriz_SAG!$D$109:$D$112</definedName>
    <definedName function="false" hidden="false" name="Part_Min" vbProcedure="false">Matriz_SAG!$C$109:$C$112</definedName>
    <definedName function="false" hidden="false" name="pc_L" vbProcedure="false">Dashboard_Premissas!$D$101</definedName>
    <definedName function="false" hidden="false" name="pc_R" vbProcedure="false">Dashboard_Premissas!$D$100</definedName>
    <definedName function="false" hidden="false" name="PF_Factor" vbProcedure="false">Dashboard_Premissas!$D$154:$D$159</definedName>
    <definedName function="false" hidden="false" name="PF_Key" vbProcedure="false">Dashboard_Premissas!$C$154:$C$159</definedName>
    <definedName function="false" hidden="false" name="PF_Room" vbProcedure="false">Dashboard_Premissas!$E$154:$E$159</definedName>
    <definedName function="false" hidden="false" name="PF_UCI" vbProcedure="false">Dashboard_Premissas!$F$154:$F$159</definedName>
    <definedName function="false" hidden="false" name="pn_L" vbProcedure="false">Dashboard_Premissas!$D$99</definedName>
    <definedName function="false" hidden="false" name="pn_R" vbProcedure="false">Dashboard_Premissas!$D$98</definedName>
    <definedName function="false" hidden="false" name="proj_m" vbProcedure="false">Dashboard_Premissas!$D$44</definedName>
    <definedName function="false" hidden="false" name="Reg_F" vbProcedure="false">Regras_Ajustes!$C$104:$C$108</definedName>
    <definedName function="false" hidden="false" name="Reg_Nome" vbProcedure="false">Regras_Ajustes!$B$104:$B$108</definedName>
    <definedName function="false" hidden="false" name="RelMatrix" vbProcedure="false">Dashboard_Premissas!$D$114:$M$130</definedName>
    <definedName function="false" hidden="false" name="RelUni" vbProcedure="false">Dashboard_Premissas!$D$133:$H$149</definedName>
    <definedName function="false" hidden="false" name="Rel_Keys" vbProcedure="false">Dashboard_Premissas!$D$113:$M$113</definedName>
    <definedName function="false" hidden="false" name="room_ref" vbProcedure="false">Dashboard_Premissas!$D$109</definedName>
    <definedName function="false" hidden="false" name="SAG_Cap" vbProcedure="false">Matriz_SAG!$G$6:$G$56</definedName>
    <definedName function="false" hidden="false" name="SAG_Key" vbProcedure="false">Matriz_SAG!$A$6:$A$56</definedName>
    <definedName function="false" hidden="false" name="SAG_Plan" vbProcedure="false">Matriz_SAG!$B$6:$B$56</definedName>
    <definedName function="false" hidden="false" name="SAG_PP" vbProcedure="false">Matriz_SAG!$S$6:$S$56</definedName>
    <definedName function="false" hidden="false" name="SAG_Status" vbProcedure="false">Matriz_SAG!$F$6:$F$56</definedName>
    <definedName function="false" hidden="false" name="SAU_Cap" vbProcedure="false">Matriz_SAU!$G$6:$G$56</definedName>
    <definedName function="false" hidden="false" name="SAU_Key" vbProcedure="false">Matriz_SAU!$A$6:$A$56</definedName>
    <definedName function="false" hidden="false" name="SAU_Plan" vbProcedure="false">Matriz_SAU!$B$6:$B$56</definedName>
    <definedName function="false" hidden="false" name="SAU_PP" vbProcedure="false">Matriz_SAU!$S$6:$S$56</definedName>
    <definedName function="false" hidden="false" name="SAU_Status" vbProcedure="false">Matriz_SAU!$F$6:$F$56</definedName>
    <definedName function="false" hidden="false" name="Sector_F" vbProcedure="false">Matriz_SAG!$C$115:$C$121</definedName>
    <definedName function="false" hidden="false" name="Sector_Nome" vbProcedure="false">Matriz_SAG!$B$115:$B$121</definedName>
    <definedName function="false" hidden="false" name="sig_SAG" vbProcedure="false">Dashboard_Premissas!$E$50</definedName>
    <definedName function="false" hidden="false" name="sig_SAU" vbProcedure="false">Dashboard_Premissas!$D$50</definedName>
    <definedName function="false" hidden="false" name="Size_F" vbProcedure="false">Matriz_SAG!$E$100:$E$103</definedName>
    <definedName function="false" hidden="false" name="Size_Label" vbProcedure="false">Matriz_SAG!$B$100:$B$103</definedName>
    <definedName function="false" hidden="false" name="Size_Min" vbProcedure="false">Matriz_SAG!$C$100:$C$103</definedName>
    <definedName function="false" hidden="false" name="Size_Sig" vbProcedure="false">Matriz_SAG!$F$100:$F$103</definedName>
    <definedName function="false" hidden="false" name="tax_SAG" vbProcedure="false">Dashboard_Premissas!$E$57</definedName>
    <definedName function="false" hidden="false" name="tax_SAU" vbProcedure="false">Dashboard_Premissas!$D$57</definedName>
    <definedName function="false" hidden="false" name="tx_ces" vbProcedure="false">Dashboard_Premissas!$D$102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<sst xmlns="http://schemas.openxmlformats.org/spreadsheetml/2006/main" count="1443" uniqueCount="695">
  <si>
    <t xml:space="preserve">MODELO ACTUARIAL DE SAÚDE (RAMO DOENÇA) — SAU &amp; SAG | DASHBOARD &amp; PREMISSAS ACTUARIAIS</t>
  </si>
  <si>
    <t xml:space="preserve">Tarifação a custo técnico — mercado angolano. Células a amarelo = inputs editáveis (texto azul). Restantes células são fórmulas. Valores monetários em Kwanzas (Kz) a preços de referência 2026, projectados pela inflação médica. Documento de trabalho sujeito a validação do Actuariado, Médico Assessor e Direcção Técnica (ARSEG).</t>
  </si>
  <si>
    <t xml:space="preserve">Legenda: amarelo/azul = input editável | preto = fórmula | verde = ligação entre folhas | verde-claro = resultado final</t>
  </si>
  <si>
    <t xml:space="preserve">PAINEL EXECUTIVO — INDICADORES-CHAVE</t>
  </si>
  <si>
    <t xml:space="preserve">Indicador</t>
  </si>
  <si>
    <t xml:space="preserve">Valor</t>
  </si>
  <si>
    <t xml:space="preserve">Inflação médica projectada (medical trend)</t>
  </si>
  <si>
    <t xml:space="preserve">Factor de trend aplicado aos custos</t>
  </si>
  <si>
    <t xml:space="preserve">Carregamentos SAU (e_a+e_c+m)</t>
  </si>
  <si>
    <t xml:space="preserve">Carregamentos SAG (e_a+e_c+m)</t>
  </si>
  <si>
    <t xml:space="preserve">Rácio de sinistralidade alvo SAU</t>
  </si>
  <si>
    <t xml:space="preserve">Rácio de sinistralidade alvo SAG</t>
  </si>
  <si>
    <t xml:space="preserve">Câmbio USD/AOA</t>
  </si>
  <si>
    <t xml:space="preserve">Calculador — Prémio Total Anual da cotação</t>
  </si>
  <si>
    <t xml:space="preserve">Calculador — Prestação na modalidade seleccionada</t>
  </si>
  <si>
    <t xml:space="preserve">SAG exemplo (censo) — Prémio total anual do grupo</t>
  </si>
  <si>
    <t xml:space="preserve">SAG exemplo — Factor de credibilidade Z</t>
  </si>
  <si>
    <t xml:space="preserve">SAG exemplo — Prémio renovado total a pagar</t>
  </si>
  <si>
    <t xml:space="preserve">DECOMPOSIÇÃO DO PRÉMIO COMERCIAL — PESSOA SEGURA DE REFERÊNCIA (pacote base do plano)</t>
  </si>
  <si>
    <t xml:space="preserve">Célula de referência (Género | Escalão) →</t>
  </si>
  <si>
    <t xml:space="preserve">M|36-50</t>
  </si>
  <si>
    <t xml:space="preserve">Plano</t>
  </si>
  <si>
    <t xml:space="preserve">Prémio Puro</t>
  </si>
  <si>
    <t xml:space="preserve">Margem de Risco (σ)</t>
  </si>
  <si>
    <t xml:space="preserve">Custos Administrativos</t>
  </si>
  <si>
    <t xml:space="preserve">Comissões</t>
  </si>
  <si>
    <t xml:space="preserve">Margem do Segurador</t>
  </si>
  <si>
    <t xml:space="preserve">Impostos e Taxas</t>
  </si>
  <si>
    <t xml:space="preserve">Prémio Total</t>
  </si>
  <si>
    <t xml:space="preserve">Rácio Sinistr.</t>
  </si>
  <si>
    <t xml:space="preserve">SAU Base</t>
  </si>
  <si>
    <t xml:space="preserve">SAU Conforto</t>
  </si>
  <si>
    <t xml:space="preserve">SAU Premium</t>
  </si>
  <si>
    <t xml:space="preserve">SAG Colaboradores</t>
  </si>
  <si>
    <t xml:space="preserve">SAG Quadros Médios</t>
  </si>
  <si>
    <t xml:space="preserve">SAG Administração</t>
  </si>
  <si>
    <t xml:space="preserve">PRÉMIO TOTAL ANUAL POR ESCALÃO ETÁRIO (unisex, ponderado pela exposição) — pacote base</t>
  </si>
  <si>
    <t xml:space="preserve">Escalão</t>
  </si>
  <si>
    <t xml:space="preserve">0-17</t>
  </si>
  <si>
    <t xml:space="preserve">18-35</t>
  </si>
  <si>
    <t xml:space="preserve">36-50</t>
  </si>
  <si>
    <t xml:space="preserve">51-65</t>
  </si>
  <si>
    <t xml:space="preserve">&gt;65</t>
  </si>
  <si>
    <t xml:space="preserve">A. PARÂMETROS MACROECONÓMICOS E INFLAÇÃO MÉDICA (MEDICAL TREND) — ANGOLA</t>
  </si>
  <si>
    <t xml:space="preserve">Parâmetro</t>
  </si>
  <si>
    <t xml:space="preserve">Código</t>
  </si>
  <si>
    <t xml:space="preserve">Fonte / Racional</t>
  </si>
  <si>
    <t xml:space="preserve">Data de referência dos custos médicos (preços base)</t>
  </si>
  <si>
    <t xml:space="preserve">dt_base</t>
  </si>
  <si>
    <t xml:space="preserve">Tabelas de preços da rede convencionada de Luanda, 1.º semestre 2026</t>
  </si>
  <si>
    <t xml:space="preserve">Taxa de câmbio USD/AOA</t>
  </si>
  <si>
    <t xml:space="preserve">fx_usd</t>
  </si>
  <si>
    <t xml:space="preserve">Câmbio de mercado 01/10/2026 ≈ 931 Kz/USD (Wise / BNA). Actualizar trimestralmente</t>
  </si>
  <si>
    <t xml:space="preserve">Inflação geral IPC Angola (homóloga)</t>
  </si>
  <si>
    <t xml:space="preserve">cpi</t>
  </si>
  <si>
    <t xml:space="preserve">INE Angola: 10,88% homóloga em Maio 2026 (BNA projecta ~13,5% média 2026)</t>
  </si>
  <si>
    <t xml:space="preserve">Excesso de inflação médica sobre IPC</t>
  </si>
  <si>
    <t xml:space="preserve">med_excess</t>
  </si>
  <si>
    <t xml:space="preserve">Tecnologia, procura induzida, escassez de especialistas e salários clínicos</t>
  </si>
  <si>
    <t xml:space="preserve">Componente cambial (fármacos/dispositivos importados)</t>
  </si>
  <si>
    <t xml:space="preserve">fx_comp</t>
  </si>
  <si>
    <t xml:space="preserve">Pass-through da depreciação do Kz em consumíveis e medicamentos importados</t>
  </si>
  <si>
    <t xml:space="preserve">Inflação Médica Projectada (Medical Trend) anual</t>
  </si>
  <si>
    <t xml:space="preserve">med_trend</t>
  </si>
  <si>
    <t xml:space="preserve">Fórmula: (1+IPC)×(1+excesso médico)×(1+componente cambial) − 1</t>
  </si>
  <si>
    <t xml:space="preserve">Meses de projecção (data base → ponto médio de exposição)</t>
  </si>
  <si>
    <t xml:space="preserve">proj_m</t>
  </si>
  <si>
    <t xml:space="preserve">Apólices emitidas nos 12 meses seguintes → ponto médio ≈ 12 meses após data base</t>
  </si>
  <si>
    <t xml:space="preserve">Factor de Trend aplicado aos custos</t>
  </si>
  <si>
    <t xml:space="preserve">f_trend</t>
  </si>
  <si>
    <t xml:space="preserve">(1+trend)^(meses/12)</t>
  </si>
  <si>
    <t xml:space="preserve">B. CARREGAMENTOS ACTUARIAIS, DESPESAS, MARGEM E ENCARGOS FISCAIS</t>
  </si>
  <si>
    <t xml:space="preserve">SAU (Individual)</t>
  </si>
  <si>
    <t xml:space="preserve">SAG (Grupo)</t>
  </si>
  <si>
    <t xml:space="preserve">Carregamento de Segurança / Volatilidade (σ)</t>
  </si>
  <si>
    <t xml:space="preserve">sig</t>
  </si>
  <si>
    <t xml:space="preserve">Desvios estocásticos; SAU &gt; SAG (menor mutualização). No SAG o σ efectivo varia com a dimensão (ver Matriz_SAG)</t>
  </si>
  <si>
    <t xml:space="preserve">Despesas de Gestão e Administração (e_a)</t>
  </si>
  <si>
    <t xml:space="preserve">ea</t>
  </si>
  <si>
    <t xml:space="preserve">Gestão de rede, TPA/cartões, auditoria médica, pré-autorizações, custos de estrutura</t>
  </si>
  <si>
    <t xml:space="preserve">Custos de Aquisição / Comissões de Mediação (e_c)</t>
  </si>
  <si>
    <t xml:space="preserve">ec</t>
  </si>
  <si>
    <t xml:space="preserve">Mediação de seguros (agentes/corretores); SAG negociado com corretores</t>
  </si>
  <si>
    <t xml:space="preserve">Margem do Segurador / Lucro Actuarial (m)</t>
  </si>
  <si>
    <t xml:space="preserve">m</t>
  </si>
  <si>
    <t xml:space="preserve">Remuneração do capital de solvência exigido pela ARSEG</t>
  </si>
  <si>
    <t xml:space="preserve">Soma dos carregamentos sobre o prémio comercial (e_a + e_c + m)</t>
  </si>
  <si>
    <t xml:space="preserve">load</t>
  </si>
  <si>
    <t xml:space="preserve">Imposto do Selo sobre o prémio</t>
  </si>
  <si>
    <t xml:space="preserve">is</t>
  </si>
  <si>
    <t xml:space="preserve">Seguros de saúde isentos de Imposto do Selo (Código do Imposto do Selo de Angola). Parametrizável caso a isenção seja alterada</t>
  </si>
  <si>
    <t xml:space="preserve">Taxa ARSEG / encargos parafiscais sobre prémios</t>
  </si>
  <si>
    <t xml:space="preserve">arseg</t>
  </si>
  <si>
    <t xml:space="preserve">PRESSUPOSTO PRUDENCIAL a confirmar face ao Decreto Presidencial n.º 213/22 (taxas do sector segurador). IVA: operações de seguro isentas</t>
  </si>
  <si>
    <t xml:space="preserve">Total de impostos e encargos regulatórios</t>
  </si>
  <si>
    <t xml:space="preserve">tax</t>
  </si>
  <si>
    <t xml:space="preserve">Rácio de sinistralidade alvo implícito (Prémio Puro / Prémio Comercial)</t>
  </si>
  <si>
    <t xml:space="preserve">LR_alvo</t>
  </si>
  <si>
    <t xml:space="preserve">Benchmark mercado angolano ramo Doença: sinistralidade 70%–85%</t>
  </si>
  <si>
    <t xml:space="preserve">Fraccionamento do prémio</t>
  </si>
  <si>
    <t xml:space="preserve">N.º prestações</t>
  </si>
  <si>
    <t xml:space="preserve">Encargo de fraccionamento</t>
  </si>
  <si>
    <t xml:space="preserve">Anual</t>
  </si>
  <si>
    <t xml:space="preserve">Semestral</t>
  </si>
  <si>
    <t xml:space="preserve">Trimestral</t>
  </si>
  <si>
    <t xml:space="preserve">Mensal</t>
  </si>
  <si>
    <t xml:space="preserve">C. TABELA BIOMÉTRICA — EXPOSIÇÃO POR ESCALÃO ETÁRIO E GÉNERO (CARTEIRA DE REFERÊNCIA SAU+SAG)</t>
  </si>
  <si>
    <t xml:space="preserve">Escalão etário</t>
  </si>
  <si>
    <t xml:space="preserve">Idade mín.</t>
  </si>
  <si>
    <t xml:space="preserve">Idade máx.</t>
  </si>
  <si>
    <t xml:space="preserve">Vidas expostas — M</t>
  </si>
  <si>
    <t xml:space="preserve">Vidas expostas — F</t>
  </si>
  <si>
    <t xml:space="preserve">Total vidas</t>
  </si>
  <si>
    <t xml:space="preserve">% da carteira</t>
  </si>
  <si>
    <t xml:space="preserve">% Feminino</t>
  </si>
  <si>
    <t xml:space="preserve">TOTAL</t>
  </si>
  <si>
    <t xml:space="preserve">Exposição em vidas-ano da carteira de referência (pressuposto). Substituir pela exposição real da carteira (Sistema de Gestão de Apólices) na calibração.</t>
  </si>
  <si>
    <t xml:space="preserve">D. FREQUÊNCIA ESPERADA (λ) E CUSTO MÉDIO POR ACTO (μ) — POR COBERTURA (preços 2026, Kz)</t>
  </si>
  <si>
    <t xml:space="preserve">Cobertura</t>
  </si>
  <si>
    <t xml:space="preserve">Grupo</t>
  </si>
  <si>
    <t xml:space="preserve">Unidade de λ</t>
  </si>
  <si>
    <t xml:space="preserve">Célula de referência</t>
  </si>
  <si>
    <t xml:space="preserve">Frequência λ (célula ref.)</t>
  </si>
  <si>
    <t xml:space="preserve">λ por 1.000 vidas</t>
  </si>
  <si>
    <t xml:space="preserve">μ Rede Convencionada (Kz)</t>
  </si>
  <si>
    <t xml:space="preserve">μ Livre Escolha / Reembolso (Kz)</t>
  </si>
  <si>
    <t xml:space="preserve">% utilização Rede</t>
  </si>
  <si>
    <t xml:space="preserve">μ Ponderado (Kz)</t>
  </si>
  <si>
    <t xml:space="preserve">CV severidade anual</t>
  </si>
  <si>
    <t xml:space="preserve">Aplica factor de rede (S/N)</t>
  </si>
  <si>
    <t xml:space="preserve">Fundamentação técnica — mercado angolano</t>
  </si>
  <si>
    <t xml:space="preserve">Internamento Hospitalar Médico (incl. malária grave)</t>
  </si>
  <si>
    <t xml:space="preserve">HOSP_INT</t>
  </si>
  <si>
    <t xml:space="preserve">Principal</t>
  </si>
  <si>
    <t xml:space="preserve">internamentos/vida/ano</t>
  </si>
  <si>
    <t xml:space="preserve">M|18-35</t>
  </si>
  <si>
    <t xml:space="preserve">S</t>
  </si>
  <si>
    <t xml:space="preserve">≈45‰ vidas. Malária grave, gastroenterites, pneumonias e complicações de HTA dominam os internamentos médicos na rede privada de Luanda. Estadia média ≈4 dias.</t>
  </si>
  <si>
    <t xml:space="preserve">Cirurgia (com internamento e de ambulatório)</t>
  </si>
  <si>
    <t xml:space="preserve">HOSP_CIR</t>
  </si>
  <si>
    <t xml:space="preserve">cirurgias/vida/ano</t>
  </si>
  <si>
    <t xml:space="preserve">Inclui bloco, honorários, anestesia e próteses intra-operatórias. Elevado peso de consumíveis importados (sensíveis ao câmbio).</t>
  </si>
  <si>
    <t xml:space="preserve">Cuidados Intensivos (UCI)</t>
  </si>
  <si>
    <t xml:space="preserve">HOSP_UCI</t>
  </si>
  <si>
    <t xml:space="preserve">episódios UCI/vida/ano</t>
  </si>
  <si>
    <t xml:space="preserve">≈5 dias × Kz 550 mil/dia (oferta UCI privada concentrada em Luanda).</t>
  </si>
  <si>
    <t xml:space="preserve">Consultas de Clínica Geral e Especialidade (incl. teleconsulta)</t>
  </si>
  <si>
    <t xml:space="preserve">AMB_CONS</t>
  </si>
  <si>
    <t xml:space="preserve">consultas/vida/ano</t>
  </si>
  <si>
    <t xml:space="preserve">Consulta CG rede ≈ Kz 15–20 mil; especialidade ≈ Kz 25–40 mil (Luanda, 2026).</t>
  </si>
  <si>
    <t xml:space="preserve">MCDT — Exames, Análises e Imagiologia</t>
  </si>
  <si>
    <t xml:space="preserve">AMB_MCDT</t>
  </si>
  <si>
    <t xml:space="preserve">actos/vida/ano</t>
  </si>
  <si>
    <t xml:space="preserve">Análises clínicas, ecografia, RX; TAC/RM com custo muito superior (cauda pesada).</t>
  </si>
  <si>
    <t xml:space="preserve">Malária e Doenças Endémicas (ambulatório)</t>
  </si>
  <si>
    <t xml:space="preserve">MAL</t>
  </si>
  <si>
    <t xml:space="preserve">episódios/vida/ano</t>
  </si>
  <si>
    <t xml:space="preserve">Malária é a 1.ª causa de consulta e de morbilidade em Angola; episódio = consulta + teste (TDR/gota espessa) + ACT.</t>
  </si>
  <si>
    <t xml:space="preserve">Maternidade e Parto (Normal e Cesariana)</t>
  </si>
  <si>
    <t xml:space="preserve">MAT</t>
  </si>
  <si>
    <t xml:space="preserve">partos/mulher fértil/ano</t>
  </si>
  <si>
    <t xml:space="preserve">F|18-35</t>
  </si>
  <si>
    <t xml:space="preserve">≈75 partos/1000 mulheres 18–35 seguradas (fecundidade urbana segurada &lt; média nacional). Custo misto normal/cesariana — ver parâmetros auxiliares.</t>
  </si>
  <si>
    <t xml:space="preserve">Urgência Hospitalar</t>
  </si>
  <si>
    <t xml:space="preserve">URG</t>
  </si>
  <si>
    <t xml:space="preserve">Elevada utilização de urgência como porta de entrada (cultura de acesso directo em Luanda).</t>
  </si>
  <si>
    <t xml:space="preserve">Transporte em Ambulância / Emergência Médica</t>
  </si>
  <si>
    <t xml:space="preserve">AMBUL</t>
  </si>
  <si>
    <t xml:space="preserve">transportes/vida/ano</t>
  </si>
  <si>
    <t xml:space="preserve">N</t>
  </si>
  <si>
    <t xml:space="preserve">Ambulância privada urbana; transferências inter-provinciais têm custo superior.</t>
  </si>
  <si>
    <t xml:space="preserve">Medicamentos em Ambulatório (Farmácia)</t>
  </si>
  <si>
    <t xml:space="preserve">MED</t>
  </si>
  <si>
    <t xml:space="preserve">receitas/vida/ano</t>
  </si>
  <si>
    <t xml:space="preserve">Fármacos maioritariamente importados — forte transmissão cambial (USD/AOA).</t>
  </si>
  <si>
    <t xml:space="preserve">Estomatologia (tratamentos)</t>
  </si>
  <si>
    <t xml:space="preserve">DENT</t>
  </si>
  <si>
    <t xml:space="preserve">Extensão</t>
  </si>
  <si>
    <t xml:space="preserve">Consultas, destartarização, restaurações, endodontia.</t>
  </si>
  <si>
    <t xml:space="preserve">Próteses Dentárias</t>
  </si>
  <si>
    <t xml:space="preserve">PROT</t>
  </si>
  <si>
    <t xml:space="preserve">próteses/vida/ano</t>
  </si>
  <si>
    <t xml:space="preserve">Sublimite dentro de Estomatologia; forte anti-selecção → carência 180 dias.</t>
  </si>
  <si>
    <t xml:space="preserve">Óptica — Lentes e Armações</t>
  </si>
  <si>
    <t xml:space="preserve">OPT</t>
  </si>
  <si>
    <t xml:space="preserve">pares/vida/ano</t>
  </si>
  <si>
    <t xml:space="preserve">Renovação típica de 2 em 2 anos.</t>
  </si>
  <si>
    <t xml:space="preserve">Medicina Preventiva e Check-up Anual</t>
  </si>
  <si>
    <t xml:space="preserve">PREV</t>
  </si>
  <si>
    <t xml:space="preserve">check-ups/vida/ano</t>
  </si>
  <si>
    <t xml:space="preserve">Taxa de adesão ≈55%; pacote análises + ECG + consulta.</t>
  </si>
  <si>
    <t xml:space="preserve">Evacuação Médica e Cobertura no Estrangeiro</t>
  </si>
  <si>
    <t xml:space="preserve">EVAC</t>
  </si>
  <si>
    <t xml:space="preserve">evacuações/vida/ano</t>
  </si>
  <si>
    <t xml:space="preserve">Destinos habituais: África do Sul, Namíbia, Portugal. Custo em USD × câmbio (risco cambial integral).</t>
  </si>
  <si>
    <t xml:space="preserve">Doenças Graves — Oncologia</t>
  </si>
  <si>
    <t xml:space="preserve">ONCO</t>
  </si>
  <si>
    <t xml:space="preserve">casos/vida/ano</t>
  </si>
  <si>
    <t xml:space="preserve">Oferta oncológica nacional limitada (radioterapia escassa) → elevado recurso ao estrangeiro.</t>
  </si>
  <si>
    <t xml:space="preserve">Doenças Crónicas — Hemodiálise</t>
  </si>
  <si>
    <t xml:space="preserve">HEMO</t>
  </si>
  <si>
    <t xml:space="preserve">doentes/vida/ano</t>
  </si>
  <si>
    <t xml:space="preserve">Prevalência IRC terminal segurada; custo anual = sessões × preço/sessão.</t>
  </si>
  <si>
    <t xml:space="preserve">D2. Parâmetros auxiliares de severidade</t>
  </si>
  <si>
    <t xml:space="preserve">Racional</t>
  </si>
  <si>
    <t xml:space="preserve">Parto normal — Rede (Kz)</t>
  </si>
  <si>
    <t xml:space="preserve">pn_R</t>
  </si>
  <si>
    <t xml:space="preserve">Pacote parto normal 48h, clínica privada Luanda</t>
  </si>
  <si>
    <t xml:space="preserve">Parto normal — Livre escolha (Kz)</t>
  </si>
  <si>
    <t xml:space="preserve">pn_L</t>
  </si>
  <si>
    <t xml:space="preserve">Cesariana — Rede (Kz)</t>
  </si>
  <si>
    <t xml:space="preserve">pc_R</t>
  </si>
  <si>
    <t xml:space="preserve">Pacote cesariana 72–96h</t>
  </si>
  <si>
    <t xml:space="preserve">Cesariana — Livre escolha (Kz)</t>
  </si>
  <si>
    <t xml:space="preserve">pc_L</t>
  </si>
  <si>
    <t xml:space="preserve">Taxa de cesarianas no sector privado</t>
  </si>
  <si>
    <t xml:space="preserve">tx_ces</t>
  </si>
  <si>
    <t xml:space="preserve">Prática privada urbana muito acima da recomendação OMS (10–15%)</t>
  </si>
  <si>
    <t xml:space="preserve">Hemodiálise — sessões por ano</t>
  </si>
  <si>
    <t xml:space="preserve">hemo_ses</t>
  </si>
  <si>
    <t xml:space="preserve">3 sessões/semana × 52</t>
  </si>
  <si>
    <t xml:space="preserve">Hemodiálise — custo por sessão Rede (Kz)</t>
  </si>
  <si>
    <t xml:space="preserve">hemo_R</t>
  </si>
  <si>
    <t xml:space="preserve">Hemodiálise — custo por sessão Livre escolha (Kz)</t>
  </si>
  <si>
    <t xml:space="preserve">hemo_L</t>
  </si>
  <si>
    <t xml:space="preserve">Evacuação — custo médio por caso (USD)</t>
  </si>
  <si>
    <t xml:space="preserve">evac_usd</t>
  </si>
  <si>
    <t xml:space="preserve">Ambulância aérea + tratamento + estadia (RSA/Namíbia/Portugal)</t>
  </si>
  <si>
    <t xml:space="preserve">Duração média internamento médico (dias)</t>
  </si>
  <si>
    <t xml:space="preserve">los_int</t>
  </si>
  <si>
    <t xml:space="preserve">Duração média internamento cirúrgico (dias)</t>
  </si>
  <si>
    <t xml:space="preserve">los_cir</t>
  </si>
  <si>
    <t xml:space="preserve">Preço médio diária de quarto na rede (Kz)</t>
  </si>
  <si>
    <t xml:space="preserve">room_ref</t>
  </si>
  <si>
    <t xml:space="preserve">Usado para apurar a dedução do sublimite de quarto/dia por plano</t>
  </si>
  <si>
    <t xml:space="preserve">E. RELATIVIDADES DE MORBILIDADE POR ESCALÃO ETÁRIO E GÉNERO (factor multiplicativo sobre a célula de referência = 1,000)</t>
  </si>
  <si>
    <t xml:space="preserve">M|0-17</t>
  </si>
  <si>
    <t xml:space="preserve">F|0-17</t>
  </si>
  <si>
    <t xml:space="preserve">F|36-50</t>
  </si>
  <si>
    <t xml:space="preserve">M|51-65</t>
  </si>
  <si>
    <t xml:space="preserve">F|51-65</t>
  </si>
  <si>
    <t xml:space="preserve">M|&gt;65</t>
  </si>
  <si>
    <t xml:space="preserve">F|&gt;65</t>
  </si>
  <si>
    <t xml:space="preserve">Relatividade unisex (ponderada pela exposição)</t>
  </si>
  <si>
    <t xml:space="preserve">F. FACTORES DE PLANO / CATEGORIA — NÍVEL DE REDE E SUBLIMITES HOSPITALARES</t>
  </si>
  <si>
    <t xml:space="preserve">Descrição do nível de rede</t>
  </si>
  <si>
    <t xml:space="preserve">Chave (Produto|Plano)</t>
  </si>
  <si>
    <t xml:space="preserve">Factor de Rede (μ)</t>
  </si>
  <si>
    <t xml:space="preserve">Sublimite Quarto/dia (Kz)</t>
  </si>
  <si>
    <t xml:space="preserve">Sublimite UCI anual (Kz)</t>
  </si>
  <si>
    <t xml:space="preserve">SAU Base — rede convencionada nível 2, quarto partilhado</t>
  </si>
  <si>
    <t xml:space="preserve">SAU|Base</t>
  </si>
  <si>
    <t xml:space="preserve">SAU Conforto — rede alargada Luanda + capitais provinciais</t>
  </si>
  <si>
    <t xml:space="preserve">SAU|Conforto</t>
  </si>
  <si>
    <t xml:space="preserve">SAU Premium — rede premium Luanda, quarto particular</t>
  </si>
  <si>
    <t xml:space="preserve">SAU|Premium</t>
  </si>
  <si>
    <t xml:space="preserve">SAG Colaboradores — rede standard</t>
  </si>
  <si>
    <t xml:space="preserve">SAG|Colaboradores</t>
  </si>
  <si>
    <t xml:space="preserve">SAG Quadros Médios — rede alargada</t>
  </si>
  <si>
    <t xml:space="preserve">SAG|Quadros Médios</t>
  </si>
  <si>
    <t xml:space="preserve">SAG Administração — rede premium, quarto particular</t>
  </si>
  <si>
    <t xml:space="preserve">SAG|Administração</t>
  </si>
  <si>
    <t xml:space="preserve">Nota: o sublimite de Kz 30.000/dia indicado na ficha SAU Base está abaixo dos preços correntes da rede privada de Luanda (≈ Kz 90–150 mil/dia); recomenda-se a revisão para ≥ Kz 75.000.</t>
  </si>
  <si>
    <t xml:space="preserve">MATRIZ TARIFÁRIA SAU — SEGURO DE SAÚDE INDIVIDUAL E FAMILIAR | TARIFAÇÃO A CUSTO TÉCNICO</t>
  </si>
  <si>
    <t xml:space="preserve">Construção da tarifa por Pessoa Segura / anuidade, por Plano (Base = Hospitalização; Conforto = Médio; Premium = Superior) e por cobertura. Estatuto: B = base incluída, O = opcional (extensão modular), — = não disponível. Capitais conforme ficha técnica SAU (editáveis).</t>
  </si>
  <si>
    <t xml:space="preserve">Parâmetros aplicados →</t>
  </si>
  <si>
    <t xml:space="preserve">σ</t>
  </si>
  <si>
    <t xml:space="preserve">e_a+e_c+m</t>
  </si>
  <si>
    <t xml:space="preserve">Impostos</t>
  </si>
  <si>
    <t xml:space="preserve">Trend</t>
  </si>
  <si>
    <t xml:space="preserve">Fórmulas: Prémio Puro = λ × μ ajustado × Trend × Factor LEV | Prémio de Risco Técnico = Prémio Puro × (1+σ) | Prémio Comercial Bruto = PRT / (1 − (e_a+e_c+m)) | Prémio Total = PCB × (1 + impostos). Valores por Pessoa Segura/anuidade na célula de referência da cobertura (ver Premissas §D).</t>
  </si>
  <si>
    <t xml:space="preserve">Chave</t>
  </si>
  <si>
    <t xml:space="preserve">Plano / Categoria</t>
  </si>
  <si>
    <t xml:space="preserve">Estatuto (B/O/—)</t>
  </si>
  <si>
    <t xml:space="preserve">Capital / Sublimite anual (Kz)</t>
  </si>
  <si>
    <t xml:space="preserve">Frequência λ</t>
  </si>
  <si>
    <t xml:space="preserve">Factor de Rede</t>
  </si>
  <si>
    <t xml:space="preserve">Dedução sublimite quarto (Kz)</t>
  </si>
  <si>
    <t xml:space="preserve">μ Ajustado (Kz)</t>
  </si>
  <si>
    <t xml:space="preserve">Factor Trend</t>
  </si>
  <si>
    <t xml:space="preserve">Custo médio por sinistrado (Kz)</t>
  </si>
  <si>
    <t xml:space="preserve">CV</t>
  </si>
  <si>
    <t xml:space="preserve">σ ln</t>
  </si>
  <si>
    <t xml:space="preserve">μ ln</t>
  </si>
  <si>
    <t xml:space="preserve">Factor Limitação de Capital (LEV)</t>
  </si>
  <si>
    <t xml:space="preserve">PRÉMIO PURO (Kz)</t>
  </si>
  <si>
    <t xml:space="preserve">Carregamento Volatilidade σ (Kz)</t>
  </si>
  <si>
    <t xml:space="preserve">PRÉMIO DE RISCO TÉCNICO (Kz)</t>
  </si>
  <si>
    <t xml:space="preserve">PRÉMIO COMERCIAL BRUTO (Kz)</t>
  </si>
  <si>
    <t xml:space="preserve">Despesas Gestão e_a (Kz)</t>
  </si>
  <si>
    <t xml:space="preserve">Comissões e_c (Kz)</t>
  </si>
  <si>
    <t xml:space="preserve">Margem m (Kz)</t>
  </si>
  <si>
    <t xml:space="preserve">Impostos e Taxas (Kz)</t>
  </si>
  <si>
    <t xml:space="preserve">PRÉMIO TOTAL ANUAL (Kz)</t>
  </si>
  <si>
    <t xml:space="preserve">Taxa de Risco Pura (‰ do capital)</t>
  </si>
  <si>
    <t xml:space="preserve">Base</t>
  </si>
  <si>
    <t xml:space="preserve">B</t>
  </si>
  <si>
    <t xml:space="preserve">O</t>
  </si>
  <si>
    <t xml:space="preserve">—</t>
  </si>
  <si>
    <t xml:space="preserve">Conforto</t>
  </si>
  <si>
    <t xml:space="preserve">Premium</t>
  </si>
  <si>
    <t xml:space="preserve">2. TARIFA DO PACOTE BASE (coberturas "B") POR ESCALÃO ETÁRIO E GÉNERO — por Pessoa Segura / anuidade</t>
  </si>
  <si>
    <t xml:space="preserve">Género</t>
  </si>
  <si>
    <t xml:space="preserve">Chave célula</t>
  </si>
  <si>
    <t xml:space="preserve">Base — Prémio Puro</t>
  </si>
  <si>
    <t xml:space="preserve">Base — Prémio Risco Técnico</t>
  </si>
  <si>
    <t xml:space="preserve">Base — Prémio Comercial Bruto</t>
  </si>
  <si>
    <t xml:space="preserve">Base — Prémio Total Anual</t>
  </si>
  <si>
    <t xml:space="preserve">Base — Mensal (c/ fracc.)</t>
  </si>
  <si>
    <t xml:space="preserve">Conforto — Prémio Puro</t>
  </si>
  <si>
    <t xml:space="preserve">Conforto — Prémio Risco Técnico</t>
  </si>
  <si>
    <t xml:space="preserve">Conforto — Prémio Comercial Bruto</t>
  </si>
  <si>
    <t xml:space="preserve">Conforto — Prémio Total Anual</t>
  </si>
  <si>
    <t xml:space="preserve">Conforto — Mensal (c/ fracc.)</t>
  </si>
  <si>
    <t xml:space="preserve">Premium — Prémio Puro</t>
  </si>
  <si>
    <t xml:space="preserve">Premium — Prémio Risco Técnico</t>
  </si>
  <si>
    <t xml:space="preserve">Premium — Prémio Comercial Bruto</t>
  </si>
  <si>
    <t xml:space="preserve">Premium — Prémio Total Anual</t>
  </si>
  <si>
    <t xml:space="preserve">Premium — Mensal (c/ fracc.)</t>
  </si>
  <si>
    <t xml:space="preserve">Vidas expostas (peso)</t>
  </si>
  <si>
    <t xml:space="preserve">M</t>
  </si>
  <si>
    <t xml:space="preserve">F</t>
  </si>
  <si>
    <t xml:space="preserve">Média ponderada pela carteira</t>
  </si>
  <si>
    <t xml:space="preserve">3. TARIFA DAS COBERTURAS OPCIONAIS / EXTENSÕES MODULARES — Prémio Total Anual por Pessoa Segura (unisex), por escalão</t>
  </si>
  <si>
    <t xml:space="preserve">"Incluída" = cobertura de base no plano (já no pacote base §2); "n.d." = não disponível no plano. Maternidade: prémio unisex diluído — no Calculador a tarifa é aplicada por género.</t>
  </si>
  <si>
    <t xml:space="preserve">MATRIZ TARIFÁRIA SAG — SEGURO DE SAÚDE GRUPO / EMPRESARIAL | TARIFAÇÃO COLECTIVA</t>
  </si>
  <si>
    <t xml:space="preserve">Planos por Categoria Profissional (Colaboradores / Quadros Médios / Administração). Prémio padrão por pessoa antes de factores colectivos (dimensão, regime de adesão, sector, região), experience rating e modalidade ASO — ver secções 4 a 7.</t>
  </si>
  <si>
    <t xml:space="preserve">Colaboradores</t>
  </si>
  <si>
    <t xml:space="preserve">Quadros Médios</t>
  </si>
  <si>
    <t xml:space="preserve">Administração</t>
  </si>
  <si>
    <t xml:space="preserve">Colaboradores — Prémio Puro</t>
  </si>
  <si>
    <t xml:space="preserve">Colaboradores — Prémio Risco Técnico</t>
  </si>
  <si>
    <t xml:space="preserve">Colaboradores — Prémio Comercial Bruto</t>
  </si>
  <si>
    <t xml:space="preserve">Colaboradores — Prémio Total Anual</t>
  </si>
  <si>
    <t xml:space="preserve">Colaboradores — Mensal (c/ fracc.)</t>
  </si>
  <si>
    <t xml:space="preserve">Quadros Médios — Prémio Puro</t>
  </si>
  <si>
    <t xml:space="preserve">Quadros Médios — Prémio Risco Técnico</t>
  </si>
  <si>
    <t xml:space="preserve">Quadros Médios — Prémio Comercial Bruto</t>
  </si>
  <si>
    <t xml:space="preserve">Quadros Médios — Prémio Total Anual</t>
  </si>
  <si>
    <t xml:space="preserve">Quadros Médios — Mensal (c/ fracc.)</t>
  </si>
  <si>
    <t xml:space="preserve">Administração — Prémio Puro</t>
  </si>
  <si>
    <t xml:space="preserve">Administração — Prémio Risco Técnico</t>
  </si>
  <si>
    <t xml:space="preserve">Administração — Prémio Comercial Bruto</t>
  </si>
  <si>
    <t xml:space="preserve">Administração — Prémio Total Anual</t>
  </si>
  <si>
    <t xml:space="preserve">Administração — Mensal (c/ fracc.)</t>
  </si>
  <si>
    <t xml:space="preserve">4. FACTORES COLECTIVOS — DIMENSÃO DO GRUPO, REGIME DE ADESÃO E SECTOR DE ACTIVIDADE</t>
  </si>
  <si>
    <t xml:space="preserve">Escalão de headcount</t>
  </si>
  <si>
    <t xml:space="preserve">Mín.</t>
  </si>
  <si>
    <t xml:space="preserve">Máx.</t>
  </si>
  <si>
    <t xml:space="preserve">Ajuste dimensão</t>
  </si>
  <si>
    <t xml:space="preserve">σ efectivo (volatilidade)</t>
  </si>
  <si>
    <t xml:space="preserve">5–10 colaboradores (Micro/PME)</t>
  </si>
  <si>
    <t xml:space="preserve">Baixa mutualização; risco de anti-selecção residual. Abaixo de 5 → SAU individual</t>
  </si>
  <si>
    <t xml:space="preserve">11–50 colaboradores (PME)</t>
  </si>
  <si>
    <t xml:space="preserve">PME — prémio fixo, tarifa padrão</t>
  </si>
  <si>
    <t xml:space="preserve">51–200 colaboradores (Média empresa)</t>
  </si>
  <si>
    <t xml:space="preserve">Referência da tarifa SAG</t>
  </si>
  <si>
    <t xml:space="preserve">&gt;200 colaboradores (Grande empresa)</t>
  </si>
  <si>
    <t xml:space="preserve">Escala, economias de gestão e menor volatilidade relativa; experience rating</t>
  </si>
  <si>
    <t xml:space="preserve">Regime de adesão</t>
  </si>
  <si>
    <t xml:space="preserve">Taxa de participação mín.</t>
  </si>
  <si>
    <t xml:space="preserve">Ajuste ao prémio</t>
  </si>
  <si>
    <t xml:space="preserve">Obrigatória — desconto de escala / dispensa de selecção médica</t>
  </si>
  <si>
    <t xml:space="preserve">100%</t>
  </si>
  <si>
    <t xml:space="preserve">Simplificação administrativa; ausência de anti-selecção</t>
  </si>
  <si>
    <t xml:space="preserve">Obrigatória — custo da aceitação de preexistências do grupo inicial</t>
  </si>
  <si>
    <t xml:space="preserve">Preexistências aceites sem questionário (cobertura base nas Grandes Empresas)</t>
  </si>
  <si>
    <t xml:space="preserve">Obrigatória — AJUSTE LÍQUIDO</t>
  </si>
  <si>
    <t xml:space="preserve">Facultativa — sobretaxa de anti-selecção</t>
  </si>
  <si>
    <t xml:space="preserve">Facultativa &lt; 50%: questionário de saúde individual obrigatório + sobretaxa máxima</t>
  </si>
  <si>
    <t xml:space="preserve">Facultativa 50%–74%: anti-selecção significativa</t>
  </si>
  <si>
    <t xml:space="preserve">Facultativa 75%–89%: anti-selecção residual</t>
  </si>
  <si>
    <t xml:space="preserve">Facultativa ≥ 90%: quase-obrigatória</t>
  </si>
  <si>
    <t xml:space="preserve">Sector de actividade (Angola)</t>
  </si>
  <si>
    <t xml:space="preserve">Factor sector</t>
  </si>
  <si>
    <t xml:space="preserve">Petróleo e Gás</t>
  </si>
  <si>
    <t xml:space="preserve">Expectativa de rede premium, capitais elevados, operação em Soyo/Cabinda/offshore</t>
  </si>
  <si>
    <t xml:space="preserve">Banca, Seguros e Telecomunicações</t>
  </si>
  <si>
    <t xml:space="preserve">Elevada literacia em saúde e utilização intensa de ambulatório</t>
  </si>
  <si>
    <t xml:space="preserve">Diamantes e Mineração</t>
  </si>
  <si>
    <t xml:space="preserve">Operações nas Lundas: transferências e evacuações frequentes</t>
  </si>
  <si>
    <t xml:space="preserve">Administração Pública e Empresas Públicas</t>
  </si>
  <si>
    <t xml:space="preserve">Referência</t>
  </si>
  <si>
    <t xml:space="preserve">Comércio e Serviços</t>
  </si>
  <si>
    <t xml:space="preserve">Indústria e Construção</t>
  </si>
  <si>
    <t xml:space="preserve">População jovem masculina (riscos laborais no seguro obrigatório de AT)</t>
  </si>
  <si>
    <t xml:space="preserve">Agricultura e Pescas</t>
  </si>
  <si>
    <t xml:space="preserve">Menor acesso à rede convencionada; utilização inferior</t>
  </si>
  <si>
    <t xml:space="preserve">5. COTAÇÃO DE GRUPO POR CENSO (exemplo: empresa com 300 colaboradores e 500 familiares)</t>
  </si>
  <si>
    <t xml:space="preserve">N.º de colaboradores (titulares) — headcount</t>
  </si>
  <si>
    <t xml:space="preserve">Obrigatória</t>
  </si>
  <si>
    <t xml:space="preserve">Taxa de participação (se facultativa)</t>
  </si>
  <si>
    <t xml:space="preserve">Sector de actividade</t>
  </si>
  <si>
    <t xml:space="preserve">Região principal</t>
  </si>
  <si>
    <t xml:space="preserve">Luanda (Grande Luanda)</t>
  </si>
  <si>
    <t xml:space="preserve">Venda cruzada</t>
  </si>
  <si>
    <t xml:space="preserve">Acidentes de Trabalho</t>
  </si>
  <si>
    <t xml:space="preserve">Vidas — Colaboradores</t>
  </si>
  <si>
    <t xml:space="preserve">Vidas — Quadros Médios</t>
  </si>
  <si>
    <t xml:space="preserve">Vidas — Administração</t>
  </si>
  <si>
    <t xml:space="preserve">PP padrão Colab.</t>
  </si>
  <si>
    <t xml:space="preserve">PP padrão Quadros</t>
  </si>
  <si>
    <t xml:space="preserve">PP padrão Admin.</t>
  </si>
  <si>
    <t xml:space="preserve">Prémio Puro da célula (Kz)</t>
  </si>
  <si>
    <t xml:space="preserve">Total de vidas seguras</t>
  </si>
  <si>
    <t xml:space="preserve">Prémio Puro padrão do grupo (Σ vidas × prémio puro da célula)</t>
  </si>
  <si>
    <t xml:space="preserve">Ajuste dimensão do grupo</t>
  </si>
  <si>
    <t xml:space="preserve">Ajuste regime de adesão</t>
  </si>
  <si>
    <t xml:space="preserve">Factor sector de actividade</t>
  </si>
  <si>
    <t xml:space="preserve">Factor região</t>
  </si>
  <si>
    <t xml:space="preserve">PRÉMIO PURO AJUSTADO DO GRUPO</t>
  </si>
  <si>
    <t xml:space="preserve">σ efectivo (função da dimensão)</t>
  </si>
  <si>
    <t xml:space="preserve">Carregamento de volatilidade</t>
  </si>
  <si>
    <t xml:space="preserve">PRÉMIO DE RISCO TÉCNICO</t>
  </si>
  <si>
    <t xml:space="preserve">PRÉMIO COMERCIAL BRUTO (antes de descontos)</t>
  </si>
  <si>
    <t xml:space="preserve">   dos quais Despesas de Gestão (e_a)</t>
  </si>
  <si>
    <t xml:space="preserve">   dos quais Comissões (e_c)</t>
  </si>
  <si>
    <t xml:space="preserve">   dos quais Margem (m)</t>
  </si>
  <si>
    <t xml:space="preserve">Desconto venda cruzada</t>
  </si>
  <si>
    <t xml:space="preserve">Prémio Comercial Líquido</t>
  </si>
  <si>
    <t xml:space="preserve">Impostos e encargos regulatórios</t>
  </si>
  <si>
    <t xml:space="preserve">PRÉMIO TOTAL ANUAL DO GRUPO</t>
  </si>
  <si>
    <t xml:space="preserve">Prémio médio por vida segura</t>
  </si>
  <si>
    <t xml:space="preserve">Prémio médio por colaborador (incl. familiares)</t>
  </si>
  <si>
    <t xml:space="preserve">Prémio Tarifário Padrão por vida (PCB, base comercial)</t>
  </si>
  <si>
    <t xml:space="preserve">6. EXPERIENCE RATING — AJUSTE POR CREDIBILIDADE (Z) NA RENOVAÇÃO (teoria da flutuação limitada)</t>
  </si>
  <si>
    <t xml:space="preserve">Inflação médica observada 2024 (mid-2023→mid-2024)</t>
  </si>
  <si>
    <t xml:space="preserve">IPC 2024 ≈ 28% (INE) + excesso médico</t>
  </si>
  <si>
    <t xml:space="preserve">Inflação médica observada 2025</t>
  </si>
  <si>
    <t xml:space="preserve">Inflação médica 2026 (projectada)</t>
  </si>
  <si>
    <t xml:space="preserve">Ano</t>
  </si>
  <si>
    <t xml:space="preserve">Vidas-ano expostas</t>
  </si>
  <si>
    <t xml:space="preserve">Prémios adquiridos (Kz)</t>
  </si>
  <si>
    <t xml:space="preserve">Sinistros incorridos incl. IBNR (Kz)</t>
  </si>
  <si>
    <t xml:space="preserve">N.º sinistros (eventos)</t>
  </si>
  <si>
    <t xml:space="preserve">Rácio de Sinistralidade</t>
  </si>
  <si>
    <t xml:space="preserve">Custo por vida (Kz)</t>
  </si>
  <si>
    <t xml:space="preserve">Factor trend acumulado</t>
  </si>
  <si>
    <t xml:space="preserve">Custo por vida projectado (Kz)</t>
  </si>
  <si>
    <t xml:space="preserve">Peso</t>
  </si>
  <si>
    <t xml:space="preserve">2023</t>
  </si>
  <si>
    <t xml:space="preserve">2024</t>
  </si>
  <si>
    <t xml:space="preserve">2025</t>
  </si>
  <si>
    <t xml:space="preserve">Total 3 anos</t>
  </si>
  <si>
    <t xml:space="preserve">Ajuste por alterações de plano / demografia do grupo</t>
  </si>
  <si>
    <t xml:space="preserve">Custo esperado por vida — experiência própria projectada</t>
  </si>
  <si>
    <t xml:space="preserve">Nível de confiança P</t>
  </si>
  <si>
    <t xml:space="preserve">Margem de erro admissível k</t>
  </si>
  <si>
    <t xml:space="preserve">CV da severidade por evento</t>
  </si>
  <si>
    <t xml:space="preserve">z = NORMSINV((1+P)/2)</t>
  </si>
  <si>
    <t xml:space="preserve">Padrão de credibilidade total n_F = (z/k)² × (1+CV²) [eventos]</t>
  </si>
  <si>
    <t xml:space="preserve">N.º de sinistros observados (3 anos)</t>
  </si>
  <si>
    <t xml:space="preserve">FACTOR DE CREDIBILIDADE Z = MIN(1; √(n/n_F))</t>
  </si>
  <si>
    <t xml:space="preserve">Sinistralidade Histórica Esperada (base comercial, por vida)</t>
  </si>
  <si>
    <t xml:space="preserve">Prémio Tarifário Padrão (base comercial, por vida)</t>
  </si>
  <si>
    <t xml:space="preserve">PRÉMIO RENOVADO por vida = Z × Sinistr. Hist. Esperada + (1−Z) × Prémio Tarifário Padrão</t>
  </si>
  <si>
    <t xml:space="preserve">Prémio Renovado comercial total</t>
  </si>
  <si>
    <t xml:space="preserve">Impostos e encargos</t>
  </si>
  <si>
    <t xml:space="preserve">PRÉMIO RENOVADO TOTAL A PAGAR</t>
  </si>
  <si>
    <t xml:space="preserve">Prémio comercial em vigor por vida (último ano)</t>
  </si>
  <si>
    <t xml:space="preserve">Variação proposta na renovação (por vida)</t>
  </si>
  <si>
    <t xml:space="preserve">Custo esperado de sinistros credibilizado (total)</t>
  </si>
  <si>
    <t xml:space="preserve">Rácio de sinistralidade esperado na renovação</t>
  </si>
  <si>
    <t xml:space="preserve">7. MODALIDADE FUNDO ADMINISTRADO / ASO (Administrative Services Only) COM STOP-LOSS</t>
  </si>
  <si>
    <t xml:space="preserve">Fundo de sinistros esperado (credibilizado)</t>
  </si>
  <si>
    <t xml:space="preserve">Taxa de Gestão (Management Fee) % sobre sinistros</t>
  </si>
  <si>
    <t xml:space="preserve">Mercado: 8%–12%; recomendado para grupos &gt; 1.000 vidas</t>
  </si>
  <si>
    <t xml:space="preserve">Management Fee (Kz)</t>
  </si>
  <si>
    <t xml:space="preserve">Stop-Loss Específico — prioridade por pessoa/ano (Kz)</t>
  </si>
  <si>
    <t xml:space="preserve">Frequência de excedência da prioridade (por 1.000 vidas)</t>
  </si>
  <si>
    <t xml:space="preserve">Oncologia, evacuações e grandes queimados/politraumas</t>
  </si>
  <si>
    <t xml:space="preserve">Excesso médio acima da prioridade (Kz)</t>
  </si>
  <si>
    <t xml:space="preserve">Custo esperado Stop-Loss Específico</t>
  </si>
  <si>
    <t xml:space="preserve">Carregamento de risco do Stop-Loss</t>
  </si>
  <si>
    <t xml:space="preserve">Despesas / comissão do Stop-Loss</t>
  </si>
  <si>
    <t xml:space="preserve">PRÉMIO STOP-LOSS ESPECÍFICO</t>
  </si>
  <si>
    <t xml:space="preserve">Fundo líquido de Stop-Loss específico</t>
  </si>
  <si>
    <t xml:space="preserve">Stop-Loss Agregado — prioridade (% do fundo esperado)</t>
  </si>
  <si>
    <t xml:space="preserve">Prioridade agregada (Kz)</t>
  </si>
  <si>
    <t xml:space="preserve">CV anual do custo por vida (após SL específico)</t>
  </si>
  <si>
    <t xml:space="preserve">Desvio-padrão do custo agregado σ_S = CV × (Fundo/N) × √N</t>
  </si>
  <si>
    <t xml:space="preserve">d = (Prioridade − Fundo) / σ_S</t>
  </si>
  <si>
    <t xml:space="preserve">Custo esperado SL Agregado E[(S−A)+] (aprox. normal)</t>
  </si>
  <si>
    <t xml:space="preserve">PRÉMIO STOP-LOSS AGREGADO</t>
  </si>
  <si>
    <t xml:space="preserve">Impostos sobre prémios Stop-Loss</t>
  </si>
  <si>
    <t xml:space="preserve">CUSTO TOTAL ESPERADO ASO PARA A EMPRESA</t>
  </si>
  <si>
    <t xml:space="preserve">Custo máximo da empresa (cenário adverso, limitado pelo SL agregado)</t>
  </si>
  <si>
    <t xml:space="preserve">Prémio em seguro tradicional (renovação)</t>
  </si>
  <si>
    <t xml:space="preserve">Poupança esperada ASO vs seguro tradicional (Kz)</t>
  </si>
  <si>
    <t xml:space="preserve">Poupança esperada (%)</t>
  </si>
  <si>
    <t xml:space="preserve">OPERAÇÕES E FACTORES DE AJUSTE SUBSCRITIVO — CO-PARTICIPAÇÃO, FRANQUIAS, AGRAVAMENTOS E DESCONTOS</t>
  </si>
  <si>
    <t xml:space="preserve">Ajustes modelados actuarialmente sobre o Prémio Puro (efeito mecânico + elasticidade comportamental). Coluna "Override" permite fixar um valor aprovado pela Direcção Técnica; se vazia, aplica-se o valor modelado.</t>
  </si>
  <si>
    <t xml:space="preserve">1. CO-PARTICIPAÇÃO E FRANQUIAS — MODELAÇÃO DO COMPORTAMENTO DO SEGURADO (referência: SAU Conforto)</t>
  </si>
  <si>
    <t xml:space="preserve">Parâmetro de referência</t>
  </si>
  <si>
    <t xml:space="preserve">Nota</t>
  </si>
  <si>
    <t xml:space="preserve">Prémio Puro — Consultas</t>
  </si>
  <si>
    <t xml:space="preserve">Prémio Puro — MCDT</t>
  </si>
  <si>
    <t xml:space="preserve">Prémio Puro — Malária ambulatório</t>
  </si>
  <si>
    <t xml:space="preserve">Prémio Puro — Urgência</t>
  </si>
  <si>
    <t xml:space="preserve">Prémio Puro — Medicamentos</t>
  </si>
  <si>
    <t xml:space="preserve">Prémio Puro — Hospitalização (Internamento + Cirurgia + UCI)</t>
  </si>
  <si>
    <t xml:space="preserve">Prémio Puro total do pacote de referência (Conforto base + Medicamentos)</t>
  </si>
  <si>
    <t xml:space="preserve">λ consultas + urgências (actos sujeitos a co-pagamento)</t>
  </si>
  <si>
    <t xml:space="preserve">Custo médio por acto sujeito a co-pagamento (projectado)</t>
  </si>
  <si>
    <t xml:space="preserve">Elasticidade-preço da procura ε (co-pagamento)</t>
  </si>
  <si>
    <t xml:space="preserve">RAND HIE ≈ 0,2; população angolana mais sensível ao preço → 0,30</t>
  </si>
  <si>
    <t xml:space="preserve">Elasticidade comportamental em reembolso</t>
  </si>
  <si>
    <t xml:space="preserve">Custo suportado em regime de reembolso (livre escolha)</t>
  </si>
  <si>
    <t xml:space="preserve">Probabilidade anual de utilizar ambulatório (q)</t>
  </si>
  <si>
    <t xml:space="preserve">Proporção de pessoas seguras com ≥1 acto de ambulatório no ano</t>
  </si>
  <si>
    <t xml:space="preserve">Custo de ambulatório por utilizador (m = custo/q)</t>
  </si>
  <si>
    <t xml:space="preserve">λ hospitalização (internamentos + cirurgias + UCI)</t>
  </si>
  <si>
    <t xml:space="preserve">Custo médio por evento hospitalar (projectado)</t>
  </si>
  <si>
    <t xml:space="preserve">Co-pagamento por acto na rede (Kz)</t>
  </si>
  <si>
    <t xml:space="preserve">Redução da utilização</t>
  </si>
  <si>
    <t xml:space="preserve">Custo esperado após co-pag. (Kz)</t>
  </si>
  <si>
    <t xml:space="preserve">Poupança esperada (Kz)</t>
  </si>
  <si>
    <t xml:space="preserve">Ajuste modelado ao prémio</t>
  </si>
  <si>
    <t xml:space="preserve">Override aprovado</t>
  </si>
  <si>
    <t xml:space="preserve">AJUSTE ADOPTADO</t>
  </si>
  <si>
    <t xml:space="preserve">Comparticipação em reembolso (%)</t>
  </si>
  <si>
    <t xml:space="preserve">Franquia anual de ambulatório (Kz/pessoa)</t>
  </si>
  <si>
    <t xml:space="preserve">Poupança E[min(X;D)] (Kz)</t>
  </si>
  <si>
    <t xml:space="preserve">Franquia por internamento (Kz/evento)</t>
  </si>
  <si>
    <t xml:space="preserve">Poupança λ_h × min(D; μ_h) (Kz)</t>
  </si>
  <si>
    <t xml:space="preserve">Franquia anual: modelo exponencial do custo anual por utilizador — E[min(X;D)] = q·m·(1−e^(−D/m)). Co-pagamento: efeito mecânico + redução da procura (ε × c/μ).</t>
  </si>
  <si>
    <t xml:space="preserve">Pacote de participação (opções A–E)</t>
  </si>
  <si>
    <t xml:space="preserve">Co-pagamento (Kz)</t>
  </si>
  <si>
    <t xml:space="preserve">Comparticipação</t>
  </si>
  <si>
    <t xml:space="preserve">Franquia amb. (Kz)</t>
  </si>
  <si>
    <t xml:space="preserve">Franquia intern. (Kz)</t>
  </si>
  <si>
    <t xml:space="preserve">Ajuste combinado modelado</t>
  </si>
  <si>
    <t xml:space="preserve">Ajuste vs Standard (B)</t>
  </si>
  <si>
    <t xml:space="preserve">Referência ficha SAG</t>
  </si>
  <si>
    <t xml:space="preserve">Referência ficha SAU</t>
  </si>
  <si>
    <t xml:space="preserve">A — Sem participação</t>
  </si>
  <si>
    <t xml:space="preserve">B — Standard</t>
  </si>
  <si>
    <t xml:space="preserve">C — Moderada</t>
  </si>
  <si>
    <t xml:space="preserve">D — Elevada</t>
  </si>
  <si>
    <t xml:space="preserve">E — Só hospitalização + urgências</t>
  </si>
  <si>
    <t xml:space="preserve">2. FACTORES DE AGRAVAMENTO CLÍNICO / SUBSCRIÇÃO</t>
  </si>
  <si>
    <t xml:space="preserve">Gravidade da Doença Pré-Existente</t>
  </si>
  <si>
    <t xml:space="preserve">Agravamento</t>
  </si>
  <si>
    <t xml:space="preserve">Decisão de subscrição</t>
  </si>
  <si>
    <t xml:space="preserve">Nenhuma</t>
  </si>
  <si>
    <t xml:space="preserve">Aceitação normal</t>
  </si>
  <si>
    <t xml:space="preserve">Ligeira</t>
  </si>
  <si>
    <t xml:space="preserve">Aceitação com agravamento +15%</t>
  </si>
  <si>
    <t xml:space="preserve">Moderada</t>
  </si>
  <si>
    <t xml:space="preserve">Aceitação com agravamento +30% + carência adicional 180 dias</t>
  </si>
  <si>
    <t xml:space="preserve">Moderada-Elevada</t>
  </si>
  <si>
    <t xml:space="preserve">Aceitação com agravamento +50% e sublimite / parecer Médico Assessor</t>
  </si>
  <si>
    <t xml:space="preserve">Elevada</t>
  </si>
  <si>
    <t xml:space="preserve">Parecer Médico Assessor: exclusão específica ou recusa (sem tarifa)</t>
  </si>
  <si>
    <t xml:space="preserve">Patologia (casos frequentes no mercado angolano)</t>
  </si>
  <si>
    <t xml:space="preserve">Gravidade</t>
  </si>
  <si>
    <t xml:space="preserve">Agravamento aplicado</t>
  </si>
  <si>
    <t xml:space="preserve">Notas de subscrição</t>
  </si>
  <si>
    <t xml:space="preserve">Hipertensão arterial grau 1, controlada</t>
  </si>
  <si>
    <t xml:space="preserve">Prevalência elevada em adultos urbanos de Luanda</t>
  </si>
  <si>
    <t xml:space="preserve">Asma ligeira / moderada controlada</t>
  </si>
  <si>
    <t xml:space="preserve">Obesidade grau I (IMC 30–34,9)</t>
  </si>
  <si>
    <t xml:space="preserve">Diabetes Mellitus tipo 2 sem complicações (HbA1c &lt; 7,5%)</t>
  </si>
  <si>
    <t xml:space="preserve">Exigir HbA1c e função renal</t>
  </si>
  <si>
    <t xml:space="preserve">Obesidade grau II (IMC 35–39,9)</t>
  </si>
  <si>
    <t xml:space="preserve">Hepatite B crónica inactiva</t>
  </si>
  <si>
    <t xml:space="preserve">Serologia e carga viral; endemicidade elevada em Angola</t>
  </si>
  <si>
    <t xml:space="preserve">VIH em TARV com carga viral indetectável</t>
  </si>
  <si>
    <t xml:space="preserve">Aceite em SAG obrigatório; em SAU com sublimite (exclusão relativa)</t>
  </si>
  <si>
    <t xml:space="preserve">Neoplasia tratada há &gt; 5 anos sem recidiva</t>
  </si>
  <si>
    <t xml:space="preserve">Relatório oncológico</t>
  </si>
  <si>
    <t xml:space="preserve">Drepanocitose (anemia falciforme SS)</t>
  </si>
  <si>
    <t xml:space="preserve">Prevalência relevante em Angola; exclusão específica das crises vaso-oclusivas</t>
  </si>
  <si>
    <t xml:space="preserve">Insuficiência renal crónica estádio ≥ 3</t>
  </si>
  <si>
    <t xml:space="preserve">Risco de hemodiálise — recusa em SAU individual</t>
  </si>
  <si>
    <t xml:space="preserve">Diabetes com complicações / cardiopatia isquémica</t>
  </si>
  <si>
    <t xml:space="preserve">Idade na 1.ª adesão (a partir de)</t>
  </si>
  <si>
    <t xml:space="preserve">Agravamento +15%; questionário e análises de rotina</t>
  </si>
  <si>
    <t xml:space="preserve">Agravamento +30%; exame médico completo</t>
  </si>
  <si>
    <t xml:space="preserve">Agravamento +50%; parecer Médico Assessor (acima da idade padrão de entrada)</t>
  </si>
  <si>
    <t xml:space="preserve">Fora da idade máxima de entrada SAU — recusa (apenas renovação/conversão SAG)</t>
  </si>
  <si>
    <t xml:space="preserve">3. DESCONTOS COMERCIAIS, AGREGADO, VENDA CRUZADA E FACTOR REGIONAL</t>
  </si>
  <si>
    <t xml:space="preserve">N.º de Pessoas Seguras na apólice SAU (a partir de)</t>
  </si>
  <si>
    <t xml:space="preserve">Desconto de agregado</t>
  </si>
  <si>
    <t xml:space="preserve">Venda cruzada (Cross-Selling)</t>
  </si>
  <si>
    <t xml:space="preserve">Desconto</t>
  </si>
  <si>
    <t xml:space="preserve">Vida / Vida Risco</t>
  </si>
  <si>
    <t xml:space="preserve">Acidentes de Trabalho + Vida</t>
  </si>
  <si>
    <t xml:space="preserve">Automóvel / Multirriscos</t>
  </si>
  <si>
    <t xml:space="preserve">Desconto por renovação sem sinistralidade relevante</t>
  </si>
  <si>
    <t xml:space="preserve">Limite máximo de desconto comercial acumulado</t>
  </si>
  <si>
    <t xml:space="preserve">Região de residência / local de trabalho</t>
  </si>
  <si>
    <t xml:space="preserve">Factor regional</t>
  </si>
  <si>
    <t xml:space="preserve">Referência: maior densidade da rede convencionada e preços de referência</t>
  </si>
  <si>
    <t xml:space="preserve">Cabinda / Soyo (pólos petrolíferos)</t>
  </si>
  <si>
    <t xml:space="preserve">Preços elevados e transferências para Luanda</t>
  </si>
  <si>
    <t xml:space="preserve">Benguela, Lobito e Huíla</t>
  </si>
  <si>
    <t xml:space="preserve">Rede privada razoável; preços inferiores a Luanda</t>
  </si>
  <si>
    <t xml:space="preserve">Huambo, Cuanza Sul, Namibe, Malanje, Uíge</t>
  </si>
  <si>
    <t xml:space="preserve">Rede limitada → menor utilização</t>
  </si>
  <si>
    <t xml:space="preserve">Lundas, Moxico, Bié, Cuando Cubango, Cunene</t>
  </si>
  <si>
    <t xml:space="preserve">Utilização baixa mas custos de transferência/evacuação elevados</t>
  </si>
  <si>
    <t xml:space="preserve">CALCULADOR INTERACTIVO DE COTAÇÃO E SIMULAÇÃO DE APÓLICE — SAÚDE SAU / SAG</t>
  </si>
  <si>
    <t xml:space="preserve">Seleccione as opções nas células amarelas (menus suspensos). Todos os resultados são recalculados automaticamente a partir das Matrizes SAU/SAG, Premissas e Regras de Ajuste.</t>
  </si>
  <si>
    <t xml:space="preserve">1. DADOS DA APÓLICE</t>
  </si>
  <si>
    <t xml:space="preserve">Tipo de Produto</t>
  </si>
  <si>
    <t xml:space="preserve">SAU</t>
  </si>
  <si>
    <t xml:space="preserve">SAU = Individual/Familiar; SAG = Grupo</t>
  </si>
  <si>
    <t xml:space="preserve">Plano contratado</t>
  </si>
  <si>
    <t xml:space="preserve">SAG: Base→Colaboradores; Conforto→Quadros Médios; Premium→Administração</t>
  </si>
  <si>
    <t xml:space="preserve">Plano / Categoria efectivo</t>
  </si>
  <si>
    <t xml:space="preserve">Região</t>
  </si>
  <si>
    <t xml:space="preserve">Comparticipação em reembolso</t>
  </si>
  <si>
    <t xml:space="preserve">Franquia anual de ambulatório (Kz)</t>
  </si>
  <si>
    <t xml:space="preserve">Franquia por internamento (Kz)</t>
  </si>
  <si>
    <t xml:space="preserve">Renovação sem sinistralidade</t>
  </si>
  <si>
    <t xml:space="preserve">Não</t>
  </si>
  <si>
    <t xml:space="preserve">2. PARÂMETROS DE GRUPO (SAG)</t>
  </si>
  <si>
    <t xml:space="preserve">N.º de colaboradores (headcount)</t>
  </si>
  <si>
    <t xml:space="preserve">Apenas SAG</t>
  </si>
  <si>
    <t xml:space="preserve">Taxa de participação (adesão facultativa)</t>
  </si>
  <si>
    <t xml:space="preserve">Apenas SAG facultativo</t>
  </si>
  <si>
    <t xml:space="preserve">3. PESSOAS SEGURAS (titular e dependentes)</t>
  </si>
  <si>
    <t xml:space="preserve">Pessoa</t>
  </si>
  <si>
    <t xml:space="preserve">Incluir</t>
  </si>
  <si>
    <t xml:space="preserve">Idade</t>
  </si>
  <si>
    <t xml:space="preserve">Gravidade clínica</t>
  </si>
  <si>
    <t xml:space="preserve">Agrav. clínico</t>
  </si>
  <si>
    <t xml:space="preserve">Agrav. idade adesão</t>
  </si>
  <si>
    <t xml:space="preserve">Prémio Puro base (Kz)</t>
  </si>
  <si>
    <t xml:space="preserve">Prémio Puro ajustado (Kz)</t>
  </si>
  <si>
    <t xml:space="preserve">Titular</t>
  </si>
  <si>
    <t xml:space="preserve">Sim</t>
  </si>
  <si>
    <t xml:space="preserve">Cônjuge</t>
  </si>
  <si>
    <t xml:space="preserve">Filho(a) 1</t>
  </si>
  <si>
    <t xml:space="preserve">Filho(a) 2</t>
  </si>
  <si>
    <t xml:space="preserve">Filho(a) 3</t>
  </si>
  <si>
    <t xml:space="preserve">Filho(a) 4</t>
  </si>
  <si>
    <t xml:space="preserve">4. COBERTURAS — ESTATUTO NO PLANO E SELECÇÃO DE OPCIONAIS (B = incluída; O = opcional; — = não disponível)</t>
  </si>
  <si>
    <t xml:space="preserve">Estatuto no plano</t>
  </si>
  <si>
    <t xml:space="preserve">Seleccionar opcional</t>
  </si>
  <si>
    <t xml:space="preserve">Incluída (1/0)</t>
  </si>
  <si>
    <t xml:space="preserve">Prémio Puro ref. (Kz)</t>
  </si>
  <si>
    <t xml:space="preserve">Capital / Sublimite (Kz)</t>
  </si>
  <si>
    <t xml:space="preserve">5. FACTORES DE AJUSTE APLICADOS</t>
  </si>
  <si>
    <t xml:space="preserve">Factor</t>
  </si>
  <si>
    <t xml:space="preserve">Ajuste co-pagamento</t>
  </si>
  <si>
    <t xml:space="preserve">Regras_Ajustes §1</t>
  </si>
  <si>
    <t xml:space="preserve">Ajuste comparticipação reembolso</t>
  </si>
  <si>
    <t xml:space="preserve">Ajuste franquia anual ambulatório</t>
  </si>
  <si>
    <t xml:space="preserve">Ajuste franquia por internamento</t>
  </si>
  <si>
    <t xml:space="preserve">Ajuste combinado de participação nos custos</t>
  </si>
  <si>
    <t xml:space="preserve">Ajuste dimensão do grupo (SAG)</t>
  </si>
  <si>
    <t xml:space="preserve">Headcount &lt; 5 → encaminhar para SAU</t>
  </si>
  <si>
    <t xml:space="preserve">Ajuste regime de adesão (SAG)</t>
  </si>
  <si>
    <t xml:space="preserve">Factor sector de actividade (SAG)</t>
  </si>
  <si>
    <t xml:space="preserve">FACTOR DE RISCO COMBINADO</t>
  </si>
  <si>
    <t xml:space="preserve">Aplicado ao Prémio Puro</t>
  </si>
  <si>
    <t xml:space="preserve">Carregamento de volatilidade σ aplicável</t>
  </si>
  <si>
    <t xml:space="preserve">SAG: σ função da dimensão</t>
  </si>
  <si>
    <t xml:space="preserve">Carregamentos e_a + e_c + m</t>
  </si>
  <si>
    <t xml:space="preserve">Desconto de agregado familiar (SAU)</t>
  </si>
  <si>
    <t xml:space="preserve">Desconto de venda cruzada</t>
  </si>
  <si>
    <t xml:space="preserve">Desconto de renovação sem sinistralidade</t>
  </si>
  <si>
    <t xml:space="preserve">DESCONTO COMERCIAL TOTAL (limitado)</t>
  </si>
  <si>
    <t xml:space="preserve">Aplicado ao Prémio Comercial</t>
  </si>
  <si>
    <t xml:space="preserve">6. RESULTADO DA COTAÇÃO (por agregado familiar — SAU; por colaborador-tipo com dependentes — SAG)</t>
  </si>
  <si>
    <t xml:space="preserve">Componente</t>
  </si>
  <si>
    <t xml:space="preserve">Valor (Kz)</t>
  </si>
  <si>
    <t xml:space="preserve">% Prémio Total</t>
  </si>
  <si>
    <t xml:space="preserve">Prémio Puro (antes de factores de ajuste)</t>
  </si>
  <si>
    <t xml:space="preserve">PRÉMIO PURO AJUSTADO (Pure Premium)</t>
  </si>
  <si>
    <t xml:space="preserve">   dos quais: Despesas de Gestão e Administração (e_a)</t>
  </si>
  <si>
    <t xml:space="preserve">   dos quais: Comissões de Mediação (e_c)</t>
  </si>
  <si>
    <t xml:space="preserve">   dos quais: Margem do Segurador (m)</t>
  </si>
  <si>
    <t xml:space="preserve">Descontos comerciais</t>
  </si>
  <si>
    <t xml:space="preserve">PRÉMIO COMERCIAL LÍQUIDO</t>
  </si>
  <si>
    <t xml:space="preserve">Impostos e Encargos Regulatórios (Imposto do Selo + ARSEG)</t>
  </si>
  <si>
    <t xml:space="preserve">PRÉMIO TOTAL ANUAL A PAGAR</t>
  </si>
  <si>
    <t xml:space="preserve">Prémio total da apólice (SAG = × n.º de colaboradores)</t>
  </si>
  <si>
    <t xml:space="preserve">Rácio de sinistralidade implícito (Prémio Puro / Prémio Comercial)</t>
  </si>
  <si>
    <t xml:space="preserve">Fraccionamento</t>
  </si>
  <si>
    <t xml:space="preserve">Encargo</t>
  </si>
  <si>
    <t xml:space="preserve">Valor por prestação (Kz)</t>
  </si>
  <si>
    <t xml:space="preserve">Total anual pago (Kz)</t>
  </si>
  <si>
    <t xml:space="preserve">Prestação — apólice total (Kz)</t>
  </si>
  <si>
    <t xml:space="preserve">PRESTAÇÃO A PAGAR — modalidade seleccionada</t>
  </si>
  <si>
    <t xml:space="preserve">Produto</t>
  </si>
  <si>
    <t xml:space="preserve">Categoria SAG</t>
  </si>
  <si>
    <t xml:space="preserve">Sim/Não</t>
  </si>
  <si>
    <t xml:space="preserve">Estatuto</t>
  </si>
  <si>
    <t xml:space="preserve">Regime</t>
  </si>
  <si>
    <t xml:space="preserve">Célula</t>
  </si>
  <si>
    <t xml:space="preserve">SAG</t>
  </si>
  <si>
    <t xml:space="preserve">Facultativa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</si>
</sst>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0.000"/>
    <numFmt numFmtId="167" formatCode="#,##0.00"/>
    <numFmt numFmtId="168" formatCode="&quot;Kz &quot;#,##0.00"/>
    <numFmt numFmtId="169" formatCode="dd/mm/yyyy"/>
    <numFmt numFmtId="170" formatCode="#,##0"/>
    <numFmt numFmtId="171" formatCode="0.00"/>
    <numFmt numFmtId="172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597"/>
        <bgColor rgb="FF2E75B6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  <border diagonalUp="false" diagonalDown="false">
      <left style="thin">
        <color rgb="FFA6A6A6"/>
      </left>
      <right/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000"/>
      <rgbColor rgb="FFBF8F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2E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Decomposição do Prémio Comercial Bruto por Plano (Kz)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Dashboard_Premissas!C21</c:f>
              <c:strCache>
                <c:ptCount val="1"/>
                <c:pt idx="0">
                  <c:v>Prémio Puro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Dashboard_Premissas!$B$22:$B$27</c:f>
              <c:strCache>
                <c:ptCount val="6"/>
                <c:pt idx="0">
                  <c:v>SAU Base</c:v>
                </c:pt>
                <c:pt idx="1">
                  <c:v>SAU Conforto</c:v>
                </c:pt>
                <c:pt idx="2">
                  <c:v>SAU Premium</c:v>
                </c:pt>
                <c:pt idx="3">
                  <c:v>SAG Colaboradores</c:v>
                </c:pt>
                <c:pt idx="4">
                  <c:v>SAG Quadros Médios</c:v>
                </c:pt>
                <c:pt idx="5">
                  <c:v>SAG Administração</c:v>
                </c:pt>
              </c:strCache>
            </c:strRef>
          </c:cat>
          <c:val>
            <c:numRef>
              <c:f>Dashboard_Premissas!$C$22:$C$27</c:f>
              <c:numCache>
                <c:formatCode>"Kz "#,##0.00</c:formatCode>
                <c:ptCount val="6"/>
                <c:pt idx="0">
                  <c:v>138719.693229622</c:v>
                </c:pt>
                <c:pt idx="1">
                  <c:v>384163.624874189</c:v>
                </c:pt>
                <c:pt idx="2">
                  <c:v>920081.414991317</c:v>
                </c:pt>
                <c:pt idx="3">
                  <c:v>333158.542909374</c:v>
                </c:pt>
                <c:pt idx="4">
                  <c:v>406707.240522443</c:v>
                </c:pt>
                <c:pt idx="5">
                  <c:v>907213.753718634</c:v>
                </c:pt>
              </c:numCache>
            </c:numRef>
          </c:val>
        </c:ser>
        <c:ser>
          <c:idx val="1"/>
          <c:order val="1"/>
          <c:tx>
            <c:strRef>
              <c:f>Dashboard_Premissas!D21</c:f>
              <c:strCache>
                <c:ptCount val="1"/>
                <c:pt idx="0">
                  <c:v>Margem de Risco (σ)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Dashboard_Premissas!$B$22:$B$27</c:f>
              <c:strCache>
                <c:ptCount val="6"/>
                <c:pt idx="0">
                  <c:v>SAU Base</c:v>
                </c:pt>
                <c:pt idx="1">
                  <c:v>SAU Conforto</c:v>
                </c:pt>
                <c:pt idx="2">
                  <c:v>SAU Premium</c:v>
                </c:pt>
                <c:pt idx="3">
                  <c:v>SAG Colaboradores</c:v>
                </c:pt>
                <c:pt idx="4">
                  <c:v>SAG Quadros Médios</c:v>
                </c:pt>
                <c:pt idx="5">
                  <c:v>SAG Administração</c:v>
                </c:pt>
              </c:strCache>
            </c:strRef>
          </c:cat>
          <c:val>
            <c:numRef>
              <c:f>Dashboard_Premissas!$D$22:$D$27</c:f>
              <c:numCache>
                <c:formatCode>"Kz "#,##0.00</c:formatCode>
                <c:ptCount val="6"/>
                <c:pt idx="0">
                  <c:v>11097.5754583698</c:v>
                </c:pt>
                <c:pt idx="1">
                  <c:v>30733.0899899351</c:v>
                </c:pt>
                <c:pt idx="2">
                  <c:v>73606.5131993054</c:v>
                </c:pt>
                <c:pt idx="3">
                  <c:v>16657.9271454687</c:v>
                </c:pt>
                <c:pt idx="4">
                  <c:v>20335.3620261221</c:v>
                </c:pt>
                <c:pt idx="5">
                  <c:v>45360.6876859317</c:v>
                </c:pt>
              </c:numCache>
            </c:numRef>
          </c:val>
        </c:ser>
        <c:ser>
          <c:idx val="2"/>
          <c:order val="2"/>
          <c:tx>
            <c:strRef>
              <c:f>Dashboard_Premissas!E21</c:f>
              <c:strCache>
                <c:ptCount val="1"/>
                <c:pt idx="0">
                  <c:v>Custos Administrativos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Dashboard_Premissas!$B$22:$B$27</c:f>
              <c:strCache>
                <c:ptCount val="6"/>
                <c:pt idx="0">
                  <c:v>SAU Base</c:v>
                </c:pt>
                <c:pt idx="1">
                  <c:v>SAU Conforto</c:v>
                </c:pt>
                <c:pt idx="2">
                  <c:v>SAU Premium</c:v>
                </c:pt>
                <c:pt idx="3">
                  <c:v>SAG Colaboradores</c:v>
                </c:pt>
                <c:pt idx="4">
                  <c:v>SAG Quadros Médios</c:v>
                </c:pt>
                <c:pt idx="5">
                  <c:v>SAG Administração</c:v>
                </c:pt>
              </c:strCache>
            </c:strRef>
          </c:cat>
          <c:val>
            <c:numRef>
              <c:f>Dashboard_Premissas!$E$22:$E$27</c:f>
              <c:numCache>
                <c:formatCode>"Kz "#,##0.00</c:formatCode>
                <c:ptCount val="6"/>
                <c:pt idx="0">
                  <c:v>27823.2070420557</c:v>
                </c:pt>
                <c:pt idx="1">
                  <c:v>77052.2470461945</c:v>
                </c:pt>
                <c:pt idx="2">
                  <c:v>184542.04380683</c:v>
                </c:pt>
                <c:pt idx="3">
                  <c:v>44280.5658297269</c:v>
                </c:pt>
                <c:pt idx="4">
                  <c:v>54056.0256390589</c:v>
                </c:pt>
                <c:pt idx="5">
                  <c:v>120579.043215768</c:v>
                </c:pt>
              </c:numCache>
            </c:numRef>
          </c:val>
        </c:ser>
        <c:ser>
          <c:idx val="3"/>
          <c:order val="3"/>
          <c:tx>
            <c:strRef>
              <c:f>Dashboard_Premissas!F21</c:f>
              <c:strCache>
                <c:ptCount val="1"/>
                <c:pt idx="0">
                  <c:v>Comissões</c:v>
                </c:pt>
              </c:strCache>
            </c:strRef>
          </c:tx>
          <c:spPr>
            <a:solidFill>
              <a:srgbClr val="a9d18e"/>
            </a:solidFill>
            <a:ln w="0">
              <a:solidFill>
                <a:srgbClr val="a9d18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Dashboard_Premissas!$B$22:$B$27</c:f>
              <c:strCache>
                <c:ptCount val="6"/>
                <c:pt idx="0">
                  <c:v>SAU Base</c:v>
                </c:pt>
                <c:pt idx="1">
                  <c:v>SAU Conforto</c:v>
                </c:pt>
                <c:pt idx="2">
                  <c:v>SAU Premium</c:v>
                </c:pt>
                <c:pt idx="3">
                  <c:v>SAG Colaboradores</c:v>
                </c:pt>
                <c:pt idx="4">
                  <c:v>SAG Quadros Médios</c:v>
                </c:pt>
                <c:pt idx="5">
                  <c:v>SAG Administração</c:v>
                </c:pt>
              </c:strCache>
            </c:strRef>
          </c:cat>
          <c:val>
            <c:numRef>
              <c:f>Dashboard_Premissas!$F$22:$F$27</c:f>
              <c:numCache>
                <c:formatCode>"Kz "#,##0.00</c:formatCode>
                <c:ptCount val="6"/>
                <c:pt idx="0">
                  <c:v>25682.9603465129</c:v>
                </c:pt>
                <c:pt idx="1">
                  <c:v>71125.1511195641</c:v>
                </c:pt>
                <c:pt idx="2">
                  <c:v>170346.501975535</c:v>
                </c:pt>
                <c:pt idx="3">
                  <c:v>30996.3960808089</c:v>
                </c:pt>
                <c:pt idx="4">
                  <c:v>37839.2179473412</c:v>
                </c:pt>
                <c:pt idx="5">
                  <c:v>84405.3302510374</c:v>
                </c:pt>
              </c:numCache>
            </c:numRef>
          </c:val>
        </c:ser>
        <c:ser>
          <c:idx val="4"/>
          <c:order val="4"/>
          <c:tx>
            <c:strRef>
              <c:f>Dashboard_Premissas!G21</c:f>
              <c:strCache>
                <c:ptCount val="1"/>
                <c:pt idx="0">
                  <c:v>Margem do Segurador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ffc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Dashboard_Premissas!$B$22:$B$27</c:f>
              <c:strCache>
                <c:ptCount val="6"/>
                <c:pt idx="0">
                  <c:v>SAU Base</c:v>
                </c:pt>
                <c:pt idx="1">
                  <c:v>SAU Conforto</c:v>
                </c:pt>
                <c:pt idx="2">
                  <c:v>SAU Premium</c:v>
                </c:pt>
                <c:pt idx="3">
                  <c:v>SAG Colaboradores</c:v>
                </c:pt>
                <c:pt idx="4">
                  <c:v>SAG Quadros Médios</c:v>
                </c:pt>
                <c:pt idx="5">
                  <c:v>SAG Administração</c:v>
                </c:pt>
              </c:strCache>
            </c:strRef>
          </c:cat>
          <c:val>
            <c:numRef>
              <c:f>Dashboard_Premissas!$G$22:$G$27</c:f>
              <c:numCache>
                <c:formatCode>"Kz "#,##0.00</c:formatCode>
                <c:ptCount val="6"/>
                <c:pt idx="0">
                  <c:v>10701.2334777137</c:v>
                </c:pt>
                <c:pt idx="1">
                  <c:v>29635.4796331517</c:v>
                </c:pt>
                <c:pt idx="2">
                  <c:v>70977.709156473</c:v>
                </c:pt>
                <c:pt idx="3">
                  <c:v>17712.2263318908</c:v>
                </c:pt>
                <c:pt idx="4">
                  <c:v>21622.4102556235</c:v>
                </c:pt>
                <c:pt idx="5">
                  <c:v>48231.6172863071</c:v>
                </c:pt>
              </c:numCache>
            </c:numRef>
          </c:val>
        </c:ser>
        <c:ser>
          <c:idx val="5"/>
          <c:order val="5"/>
          <c:tx>
            <c:strRef>
              <c:f>Dashboard_Premissas!H21</c:f>
              <c:strCache>
                <c:ptCount val="1"/>
                <c:pt idx="0">
                  <c:v>Impostos e Taxas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c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Dashboard_Premissas!$B$22:$B$27</c:f>
              <c:strCache>
                <c:ptCount val="6"/>
                <c:pt idx="0">
                  <c:v>SAU Base</c:v>
                </c:pt>
                <c:pt idx="1">
                  <c:v>SAU Conforto</c:v>
                </c:pt>
                <c:pt idx="2">
                  <c:v>SAU Premium</c:v>
                </c:pt>
                <c:pt idx="3">
                  <c:v>SAG Colaboradores</c:v>
                </c:pt>
                <c:pt idx="4">
                  <c:v>SAG Quadros Médios</c:v>
                </c:pt>
                <c:pt idx="5">
                  <c:v>SAG Administração</c:v>
                </c:pt>
              </c:strCache>
            </c:strRef>
          </c:cat>
          <c:val>
            <c:numRef>
              <c:f>Dashboard_Premissas!$H$22:$H$27</c:f>
              <c:numCache>
                <c:formatCode>"Kz "#,##0.00</c:formatCode>
                <c:ptCount val="6"/>
                <c:pt idx="0">
                  <c:v>2140.24669554274</c:v>
                </c:pt>
                <c:pt idx="1">
                  <c:v>5927.09592663034</c:v>
                </c:pt>
                <c:pt idx="2">
                  <c:v>14195.5418312946</c:v>
                </c:pt>
                <c:pt idx="3">
                  <c:v>4428.05658297269</c:v>
                </c:pt>
                <c:pt idx="4">
                  <c:v>5405.60256390589</c:v>
                </c:pt>
                <c:pt idx="5">
                  <c:v>12057.9043215768</c:v>
                </c:pt>
              </c:numCache>
            </c:numRef>
          </c:val>
        </c:ser>
        <c:gapWidth val="150"/>
        <c:overlap val="100"/>
        <c:axId val="52224340"/>
        <c:axId val="17340506"/>
      </c:barChart>
      <c:catAx>
        <c:axId val="522243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40506"/>
        <c:crosses val="autoZero"/>
        <c:auto val="1"/>
        <c:lblAlgn val="ctr"/>
        <c:lblOffset val="100"/>
        <c:noMultiLvlLbl val="0"/>
      </c:catAx>
      <c:valAx>
        <c:axId val="173405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Kz / 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2243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Curva tarifária por escalão etário (Prémio Total, Kz)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Dashboard_Premissas!C30</c:f>
              <c:strCache>
                <c:ptCount val="1"/>
                <c:pt idx="0">
                  <c:v>SAU Base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Dashboard_Premissas!$B$31:$B$35</c:f>
              <c:strCache>
                <c:ptCount val="5"/>
                <c:pt idx="0">
                  <c:v>0-17</c:v>
                </c:pt>
                <c:pt idx="1">
                  <c:v>18-35</c:v>
                </c:pt>
                <c:pt idx="2">
                  <c:v>36-50</c:v>
                </c:pt>
                <c:pt idx="3">
                  <c:v>51-65</c:v>
                </c:pt>
                <c:pt idx="4">
                  <c:v>&gt;65</c:v>
                </c:pt>
              </c:strCache>
            </c:strRef>
          </c:cat>
          <c:val>
            <c:numRef>
              <c:f>Dashboard_Premissas!$C$31:$C$35</c:f>
              <c:numCache>
                <c:formatCode>"Kz "#,##0.00</c:formatCode>
                <c:ptCount val="5"/>
                <c:pt idx="0">
                  <c:v>119291.443359245</c:v>
                </c:pt>
                <c:pt idx="1">
                  <c:v>165586.989532499</c:v>
                </c:pt>
                <c:pt idx="2">
                  <c:v>218143.504988342</c:v>
                </c:pt>
                <c:pt idx="3">
                  <c:v>323276.032606561</c:v>
                </c:pt>
                <c:pt idx="4">
                  <c:v>473245.178461657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Dashboard_Premissas!D30</c:f>
              <c:strCache>
                <c:ptCount val="1"/>
                <c:pt idx="0">
                  <c:v>SAU Conforto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Dashboard_Premissas!$B$31:$B$35</c:f>
              <c:strCache>
                <c:ptCount val="5"/>
                <c:pt idx="0">
                  <c:v>0-17</c:v>
                </c:pt>
                <c:pt idx="1">
                  <c:v>18-35</c:v>
                </c:pt>
                <c:pt idx="2">
                  <c:v>36-50</c:v>
                </c:pt>
                <c:pt idx="3">
                  <c:v>51-65</c:v>
                </c:pt>
                <c:pt idx="4">
                  <c:v>&gt;65</c:v>
                </c:pt>
              </c:strCache>
            </c:strRef>
          </c:cat>
          <c:val>
            <c:numRef>
              <c:f>Dashboard_Premissas!$D$31:$D$35</c:f>
              <c:numCache>
                <c:formatCode>"Kz "#,##0.00</c:formatCode>
                <c:ptCount val="5"/>
                <c:pt idx="0">
                  <c:v>389561.173851289</c:v>
                </c:pt>
                <c:pt idx="1">
                  <c:v>509083.848427353</c:v>
                </c:pt>
                <c:pt idx="2">
                  <c:v>635595.119712944</c:v>
                </c:pt>
                <c:pt idx="3">
                  <c:v>879736.450111736</c:v>
                </c:pt>
                <c:pt idx="4">
                  <c:v>1191572.21243105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Dashboard_Premissas!E30</c:f>
              <c:strCache>
                <c:ptCount val="1"/>
                <c:pt idx="0">
                  <c:v>SAU Premium</c:v>
                </c:pt>
              </c:strCache>
            </c:strRef>
          </c:tx>
          <c:spPr>
            <a:solidFill>
              <a:srgbClr val="9dc3e6"/>
            </a:solidFill>
            <a:ln w="2808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Dashboard_Premissas!$B$31:$B$35</c:f>
              <c:strCache>
                <c:ptCount val="5"/>
                <c:pt idx="0">
                  <c:v>0-17</c:v>
                </c:pt>
                <c:pt idx="1">
                  <c:v>18-35</c:v>
                </c:pt>
                <c:pt idx="2">
                  <c:v>36-50</c:v>
                </c:pt>
                <c:pt idx="3">
                  <c:v>51-65</c:v>
                </c:pt>
                <c:pt idx="4">
                  <c:v>&gt;65</c:v>
                </c:pt>
              </c:strCache>
            </c:strRef>
          </c:cat>
          <c:val>
            <c:numRef>
              <c:f>Dashboard_Premissas!$E$31:$E$35</c:f>
              <c:numCache>
                <c:formatCode>"Kz "#,##0.00</c:formatCode>
                <c:ptCount val="5"/>
                <c:pt idx="0">
                  <c:v>770884.785803204</c:v>
                </c:pt>
                <c:pt idx="1">
                  <c:v>1194927.81896923</c:v>
                </c:pt>
                <c:pt idx="2">
                  <c:v>1531164.92471042</c:v>
                </c:pt>
                <c:pt idx="3">
                  <c:v>2171087.13043641</c:v>
                </c:pt>
                <c:pt idx="4">
                  <c:v>2844468.17009406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Dashboard_Premissas!F30</c:f>
              <c:strCache>
                <c:ptCount val="1"/>
                <c:pt idx="0">
                  <c:v>SAG Colaboradores</c:v>
                </c:pt>
              </c:strCache>
            </c:strRef>
          </c:tx>
          <c:spPr>
            <a:solidFill>
              <a:srgbClr val="a9d18e"/>
            </a:solidFill>
            <a:ln w="28080">
              <a:solidFill>
                <a:srgbClr val="a9d1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Dashboard_Premissas!$B$31:$B$35</c:f>
              <c:strCache>
                <c:ptCount val="5"/>
                <c:pt idx="0">
                  <c:v>0-17</c:v>
                </c:pt>
                <c:pt idx="1">
                  <c:v>18-35</c:v>
                </c:pt>
                <c:pt idx="2">
                  <c:v>36-50</c:v>
                </c:pt>
                <c:pt idx="3">
                  <c:v>51-65</c:v>
                </c:pt>
                <c:pt idx="4">
                  <c:v>&gt;65</c:v>
                </c:pt>
              </c:strCache>
            </c:strRef>
          </c:cat>
          <c:val>
            <c:numRef>
              <c:f>Dashboard_Premissas!$F$31:$F$35</c:f>
              <c:numCache>
                <c:formatCode>"Kz "#,##0.00</c:formatCode>
                <c:ptCount val="5"/>
                <c:pt idx="0">
                  <c:v>295365.139888431</c:v>
                </c:pt>
                <c:pt idx="1">
                  <c:v>415037.424952619</c:v>
                </c:pt>
                <c:pt idx="2">
                  <c:v>486622.326568096</c:v>
                </c:pt>
                <c:pt idx="3">
                  <c:v>655760.652261827</c:v>
                </c:pt>
                <c:pt idx="4">
                  <c:v>883607.930630698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Dashboard_Premissas!G30</c:f>
              <c:strCache>
                <c:ptCount val="1"/>
                <c:pt idx="0">
                  <c:v>SAG Quadros Médios</c:v>
                </c:pt>
              </c:strCache>
            </c:strRef>
          </c:tx>
          <c:spPr>
            <a:solidFill>
              <a:srgbClr val="ffc000"/>
            </a:solidFill>
            <a:ln w="2808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Dashboard_Premissas!$B$31:$B$35</c:f>
              <c:strCache>
                <c:ptCount val="5"/>
                <c:pt idx="0">
                  <c:v>0-17</c:v>
                </c:pt>
                <c:pt idx="1">
                  <c:v>18-35</c:v>
                </c:pt>
                <c:pt idx="2">
                  <c:v>36-50</c:v>
                </c:pt>
                <c:pt idx="3">
                  <c:v>51-65</c:v>
                </c:pt>
                <c:pt idx="4">
                  <c:v>&gt;65</c:v>
                </c:pt>
              </c:strCache>
            </c:strRef>
          </c:cat>
          <c:val>
            <c:numRef>
              <c:f>Dashboard_Premissas!$G$31:$G$35</c:f>
              <c:numCache>
                <c:formatCode>"Kz "#,##0.00</c:formatCode>
                <c:ptCount val="5"/>
                <c:pt idx="0">
                  <c:v>356491.925635057</c:v>
                </c:pt>
                <c:pt idx="1">
                  <c:v>511391.492574476</c:v>
                </c:pt>
                <c:pt idx="2">
                  <c:v>595134.552946937</c:v>
                </c:pt>
                <c:pt idx="3">
                  <c:v>802667.686856464</c:v>
                </c:pt>
                <c:pt idx="4">
                  <c:v>1087983.5377167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Dashboard_Premissas!H30</c:f>
              <c:strCache>
                <c:ptCount val="1"/>
                <c:pt idx="0">
                  <c:v>SAG Administração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Dashboard_Premissas!$B$31:$B$35</c:f>
              <c:strCache>
                <c:ptCount val="5"/>
                <c:pt idx="0">
                  <c:v>0-17</c:v>
                </c:pt>
                <c:pt idx="1">
                  <c:v>18-35</c:v>
                </c:pt>
                <c:pt idx="2">
                  <c:v>36-50</c:v>
                </c:pt>
                <c:pt idx="3">
                  <c:v>51-65</c:v>
                </c:pt>
                <c:pt idx="4">
                  <c:v>&gt;65</c:v>
                </c:pt>
              </c:strCache>
            </c:strRef>
          </c:cat>
          <c:val>
            <c:numRef>
              <c:f>Dashboard_Premissas!$H$31:$H$35</c:f>
              <c:numCache>
                <c:formatCode>"Kz "#,##0.00</c:formatCode>
                <c:ptCount val="5"/>
                <c:pt idx="0">
                  <c:v>679533.50317957</c:v>
                </c:pt>
                <c:pt idx="1">
                  <c:v>1042517.37474121</c:v>
                </c:pt>
                <c:pt idx="2">
                  <c:v>1296848.01128502</c:v>
                </c:pt>
                <c:pt idx="3">
                  <c:v>1782199.28523666</c:v>
                </c:pt>
                <c:pt idx="4">
                  <c:v>2316177.17444314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390946"/>
        <c:axId val="14256290"/>
      </c:lineChart>
      <c:catAx>
        <c:axId val="823909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56290"/>
        <c:crosses val="autoZero"/>
        <c:auto val="1"/>
        <c:lblAlgn val="ctr"/>
        <c:lblOffset val="100"/>
        <c:noMultiLvlLbl val="0"/>
      </c:catAx>
      <c:valAx>
        <c:axId val="142562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Kz / 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909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0</xdr:rowOff>
    </xdr:from>
    <xdr:to>
      <xdr:col>20</xdr:col>
      <xdr:colOff>187200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13110120" y="895320"/>
        <a:ext cx="79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22</xdr:row>
      <xdr:rowOff>0</xdr:rowOff>
    </xdr:from>
    <xdr:to>
      <xdr:col>20</xdr:col>
      <xdr:colOff>187200</xdr:colOff>
      <xdr:row>36</xdr:row>
      <xdr:rowOff>362880</xdr:rowOff>
    </xdr:to>
    <xdr:graphicFrame>
      <xdr:nvGraphicFramePr>
        <xdr:cNvPr id="1" name="Chart 2"/>
        <xdr:cNvGraphicFramePr/>
      </xdr:nvGraphicFramePr>
      <xdr:xfrm>
        <a:off x="13110120" y="49910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16" min="4" style="0" width="1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B3" s="3" t="s">
        <v>2</v>
      </c>
    </row>
    <row r="4" customFormat="false" ht="15" hidden="false" customHeight="false" outlineLevel="0" collapsed="false">
      <c r="B4" s="4" t="s">
        <v>3</v>
      </c>
      <c r="C4" s="5"/>
      <c r="D4" s="5"/>
      <c r="E4" s="5"/>
      <c r="F4" s="5"/>
      <c r="G4" s="5"/>
      <c r="H4" s="5"/>
      <c r="I4" s="5"/>
      <c r="J4" s="5"/>
    </row>
    <row r="5" customFormat="false" ht="31.5" hidden="false" customHeight="true" outlineLevel="0" collapsed="false">
      <c r="B5" s="6" t="s">
        <v>4</v>
      </c>
      <c r="C5" s="6" t="s">
        <v>5</v>
      </c>
    </row>
    <row r="6" customFormat="false" ht="15" hidden="false" customHeight="false" outlineLevel="0" collapsed="false">
      <c r="B6" s="7" t="s">
        <v>6</v>
      </c>
      <c r="C6" s="8" t="n">
        <f aca="false">med_trend</f>
        <v>0.182194</v>
      </c>
    </row>
    <row r="7" customFormat="false" ht="15" hidden="false" customHeight="false" outlineLevel="0" collapsed="false">
      <c r="B7" s="9" t="s">
        <v>7</v>
      </c>
      <c r="C7" s="10" t="n">
        <f aca="false">f_trend</f>
        <v>1.182194</v>
      </c>
    </row>
    <row r="8" customFormat="false" ht="15" hidden="false" customHeight="false" outlineLevel="0" collapsed="false">
      <c r="B8" s="7" t="s">
        <v>8</v>
      </c>
      <c r="C8" s="8" t="n">
        <f aca="false">load_SAU</f>
        <v>0.3</v>
      </c>
    </row>
    <row r="9" customFormat="false" ht="15" hidden="false" customHeight="false" outlineLevel="0" collapsed="false">
      <c r="B9" s="9" t="s">
        <v>9</v>
      </c>
      <c r="C9" s="11" t="n">
        <f aca="false">load_SAG</f>
        <v>0.21</v>
      </c>
    </row>
    <row r="10" customFormat="false" ht="15" hidden="false" customHeight="false" outlineLevel="0" collapsed="false">
      <c r="B10" s="7" t="s">
        <v>10</v>
      </c>
      <c r="C10" s="8" t="n">
        <f aca="false">$D$58</f>
        <v>0.648148148148148</v>
      </c>
    </row>
    <row r="11" customFormat="false" ht="15" hidden="false" customHeight="false" outlineLevel="0" collapsed="false">
      <c r="B11" s="9" t="s">
        <v>11</v>
      </c>
      <c r="C11" s="11" t="n">
        <f aca="false">$E$58</f>
        <v>0.752380952380952</v>
      </c>
    </row>
    <row r="12" customFormat="false" ht="15" hidden="false" customHeight="false" outlineLevel="0" collapsed="false">
      <c r="B12" s="7" t="s">
        <v>12</v>
      </c>
      <c r="C12" s="12" t="n">
        <f aca="false">fx_usd</f>
        <v>931.27</v>
      </c>
    </row>
    <row r="13" customFormat="false" ht="15" hidden="false" customHeight="false" outlineLevel="0" collapsed="false">
      <c r="B13" s="9" t="s">
        <v>13</v>
      </c>
      <c r="C13" s="13" t="n">
        <f aca="false">Calculador!C86</f>
        <v>2303121.48917153</v>
      </c>
    </row>
    <row r="14" customFormat="false" ht="15" hidden="false" customHeight="false" outlineLevel="0" collapsed="false">
      <c r="B14" s="7" t="s">
        <v>14</v>
      </c>
      <c r="C14" s="14" t="n">
        <f aca="false">Calculador!C95</f>
        <v>199603.862394866</v>
      </c>
    </row>
    <row r="15" customFormat="false" ht="15" hidden="false" customHeight="false" outlineLevel="0" collapsed="false">
      <c r="B15" s="9" t="s">
        <v>15</v>
      </c>
      <c r="C15" s="13" t="n">
        <f aca="false">Matriz_SAG!C161</f>
        <v>338148106.135453</v>
      </c>
    </row>
    <row r="16" customFormat="false" ht="15" hidden="false" customHeight="false" outlineLevel="0" collapsed="false">
      <c r="B16" s="7" t="s">
        <v>16</v>
      </c>
      <c r="C16" s="15" t="n">
        <f aca="false">Matriz_SAG!C185</f>
        <v>0.633782883468729</v>
      </c>
    </row>
    <row r="17" customFormat="false" ht="15" hidden="false" customHeight="false" outlineLevel="0" collapsed="false">
      <c r="B17" s="9" t="s">
        <v>17</v>
      </c>
      <c r="C17" s="13" t="n">
        <f aca="false">Matriz_SAG!C192</f>
        <v>483469350.345767</v>
      </c>
    </row>
    <row r="19" customFormat="false" ht="15" hidden="false" customHeight="false" outlineLevel="0" collapsed="false">
      <c r="B19" s="4" t="s">
        <v>18</v>
      </c>
      <c r="C19" s="5"/>
      <c r="D19" s="5"/>
      <c r="E19" s="5"/>
      <c r="F19" s="5"/>
      <c r="G19" s="5"/>
      <c r="H19" s="5"/>
      <c r="I19" s="5"/>
      <c r="J19" s="5"/>
    </row>
    <row r="20" customFormat="false" ht="15" hidden="false" customHeight="false" outlineLevel="0" collapsed="false">
      <c r="B20" s="16" t="s">
        <v>19</v>
      </c>
      <c r="C20" s="17" t="s">
        <v>20</v>
      </c>
    </row>
    <row r="21" customFormat="false" ht="36" hidden="false" customHeight="true" outlineLevel="0" collapsed="false">
      <c r="B21" s="6" t="s">
        <v>21</v>
      </c>
      <c r="C21" s="6" t="s">
        <v>22</v>
      </c>
      <c r="D21" s="6" t="s">
        <v>23</v>
      </c>
      <c r="E21" s="6" t="s">
        <v>24</v>
      </c>
      <c r="F21" s="6" t="s">
        <v>25</v>
      </c>
      <c r="G21" s="6" t="s">
        <v>26</v>
      </c>
      <c r="H21" s="6" t="s">
        <v>27</v>
      </c>
      <c r="I21" s="6" t="s">
        <v>28</v>
      </c>
      <c r="J21" s="6" t="s">
        <v>29</v>
      </c>
    </row>
    <row r="22" customFormat="false" ht="15" hidden="false" customHeight="false" outlineLevel="0" collapsed="false">
      <c r="B22" s="16" t="s">
        <v>30</v>
      </c>
      <c r="C22" s="18" t="n">
        <f aca="false">INDEX(Matriz_SAU!$E$61:$E$70,MATCH($C$20,Matriz_SAU!$D$61:$D$70,0))</f>
        <v>138719.693229622</v>
      </c>
      <c r="D22" s="18" t="n">
        <f aca="false">C22*sig_SAU</f>
        <v>11097.5754583698</v>
      </c>
      <c r="E22" s="18" t="n">
        <f aca="false">(C22+D22)/(1-load_SAU)*ea_SAU</f>
        <v>27823.2070420557</v>
      </c>
      <c r="F22" s="18" t="n">
        <f aca="false">(C22+D22)/(1-load_SAU)*ec_SAU</f>
        <v>25682.9603465129</v>
      </c>
      <c r="G22" s="18" t="n">
        <f aca="false">(C22+D22)/(1-load_SAU)*m_SAU</f>
        <v>10701.2334777137</v>
      </c>
      <c r="H22" s="18" t="n">
        <f aca="false">(C22+D22)/(1-load_SAU)*tax_SAU</f>
        <v>2140.24669554274</v>
      </c>
      <c r="I22" s="19" t="n">
        <f aca="false">SUM(C22:H22)</f>
        <v>216164.916249817</v>
      </c>
      <c r="J22" s="20" t="n">
        <f aca="false">C22/(I22-H22)</f>
        <v>0.648148148148148</v>
      </c>
    </row>
    <row r="23" customFormat="false" ht="15" hidden="false" customHeight="false" outlineLevel="0" collapsed="false">
      <c r="B23" s="21" t="s">
        <v>31</v>
      </c>
      <c r="C23" s="18" t="n">
        <f aca="false">INDEX(Matriz_SAU!$J$61:$J$70,MATCH($C$20,Matriz_SAU!$D$61:$D$70,0))</f>
        <v>384163.624874189</v>
      </c>
      <c r="D23" s="18" t="n">
        <f aca="false">C23*sig_SAU</f>
        <v>30733.0899899351</v>
      </c>
      <c r="E23" s="18" t="n">
        <f aca="false">(C23+D23)/(1-load_SAU)*ea_SAU</f>
        <v>77052.2470461945</v>
      </c>
      <c r="F23" s="18" t="n">
        <f aca="false">(C23+D23)/(1-load_SAU)*ec_SAU</f>
        <v>71125.1511195641</v>
      </c>
      <c r="G23" s="18" t="n">
        <f aca="false">(C23+D23)/(1-load_SAU)*m_SAU</f>
        <v>29635.4796331517</v>
      </c>
      <c r="H23" s="18" t="n">
        <f aca="false">(C23+D23)/(1-load_SAU)*tax_SAU</f>
        <v>5927.09592663034</v>
      </c>
      <c r="I23" s="19" t="n">
        <f aca="false">SUM(C23:H23)</f>
        <v>598636.688589665</v>
      </c>
      <c r="J23" s="20" t="n">
        <f aca="false">C23/(I23-H23)</f>
        <v>0.648148148148148</v>
      </c>
    </row>
    <row r="24" customFormat="false" ht="15" hidden="false" customHeight="false" outlineLevel="0" collapsed="false">
      <c r="B24" s="16" t="s">
        <v>32</v>
      </c>
      <c r="C24" s="18" t="n">
        <f aca="false">INDEX(Matriz_SAU!$O$61:$O$70,MATCH($C$20,Matriz_SAU!$D$61:$D$70,0))</f>
        <v>920081.414991317</v>
      </c>
      <c r="D24" s="18" t="n">
        <f aca="false">C24*sig_SAU</f>
        <v>73606.5131993054</v>
      </c>
      <c r="E24" s="18" t="n">
        <f aca="false">(C24+D24)/(1-load_SAU)*ea_SAU</f>
        <v>184542.04380683</v>
      </c>
      <c r="F24" s="18" t="n">
        <f aca="false">(C24+D24)/(1-load_SAU)*ec_SAU</f>
        <v>170346.501975535</v>
      </c>
      <c r="G24" s="18" t="n">
        <f aca="false">(C24+D24)/(1-load_SAU)*m_SAU</f>
        <v>70977.709156473</v>
      </c>
      <c r="H24" s="18" t="n">
        <f aca="false">(C24+D24)/(1-load_SAU)*tax_SAU</f>
        <v>14195.5418312946</v>
      </c>
      <c r="I24" s="19" t="n">
        <f aca="false">SUM(C24:H24)</f>
        <v>1433749.72496076</v>
      </c>
      <c r="J24" s="20" t="n">
        <f aca="false">C24/(I24-H24)</f>
        <v>0.648148148148148</v>
      </c>
    </row>
    <row r="25" customFormat="false" ht="15" hidden="false" customHeight="false" outlineLevel="0" collapsed="false">
      <c r="B25" s="21" t="s">
        <v>33</v>
      </c>
      <c r="C25" s="18" t="n">
        <f aca="false">INDEX(Matriz_SAG!$E$61:$E$70,MATCH($C$20,Matriz_SAG!$D$61:$D$70,0))</f>
        <v>333158.542909374</v>
      </c>
      <c r="D25" s="18" t="n">
        <f aca="false">C25*sig_SAG</f>
        <v>16657.9271454687</v>
      </c>
      <c r="E25" s="18" t="n">
        <f aca="false">(C25+D25)/(1-load_SAG)*ea_SAG</f>
        <v>44280.5658297269</v>
      </c>
      <c r="F25" s="18" t="n">
        <f aca="false">(C25+D25)/(1-load_SAG)*ec_SAG</f>
        <v>30996.3960808089</v>
      </c>
      <c r="G25" s="18" t="n">
        <f aca="false">(C25+D25)/(1-load_SAG)*m_SAG</f>
        <v>17712.2263318908</v>
      </c>
      <c r="H25" s="18" t="n">
        <f aca="false">(C25+D25)/(1-load_SAG)*tax_SAG</f>
        <v>4428.05658297269</v>
      </c>
      <c r="I25" s="19" t="n">
        <f aca="false">SUM(C25:H25)</f>
        <v>447233.714880242</v>
      </c>
      <c r="J25" s="20" t="n">
        <f aca="false">C25/(I25-H25)</f>
        <v>0.752380952380952</v>
      </c>
    </row>
    <row r="26" customFormat="false" ht="15" hidden="false" customHeight="false" outlineLevel="0" collapsed="false">
      <c r="B26" s="16" t="s">
        <v>34</v>
      </c>
      <c r="C26" s="18" t="n">
        <f aca="false">INDEX(Matriz_SAG!$J$61:$J$70,MATCH($C$20,Matriz_SAG!$D$61:$D$70,0))</f>
        <v>406707.240522443</v>
      </c>
      <c r="D26" s="18" t="n">
        <f aca="false">C26*sig_SAG</f>
        <v>20335.3620261221</v>
      </c>
      <c r="E26" s="18" t="n">
        <f aca="false">(C26+D26)/(1-load_SAG)*ea_SAG</f>
        <v>54056.0256390589</v>
      </c>
      <c r="F26" s="18" t="n">
        <f aca="false">(C26+D26)/(1-load_SAG)*ec_SAG</f>
        <v>37839.2179473412</v>
      </c>
      <c r="G26" s="18" t="n">
        <f aca="false">(C26+D26)/(1-load_SAG)*m_SAG</f>
        <v>21622.4102556235</v>
      </c>
      <c r="H26" s="18" t="n">
        <f aca="false">(C26+D26)/(1-load_SAG)*tax_SAG</f>
        <v>5405.60256390589</v>
      </c>
      <c r="I26" s="19" t="n">
        <f aca="false">SUM(C26:H26)</f>
        <v>545965.858954494</v>
      </c>
      <c r="J26" s="20" t="n">
        <f aca="false">C26/(I26-H26)</f>
        <v>0.752380952380952</v>
      </c>
    </row>
    <row r="27" customFormat="false" ht="15" hidden="false" customHeight="false" outlineLevel="0" collapsed="false">
      <c r="B27" s="21" t="s">
        <v>35</v>
      </c>
      <c r="C27" s="18" t="n">
        <f aca="false">INDEX(Matriz_SAG!$O$61:$O$70,MATCH($C$20,Matriz_SAG!$D$61:$D$70,0))</f>
        <v>907213.753718634</v>
      </c>
      <c r="D27" s="18" t="n">
        <f aca="false">C27*sig_SAG</f>
        <v>45360.6876859317</v>
      </c>
      <c r="E27" s="18" t="n">
        <f aca="false">(C27+D27)/(1-load_SAG)*ea_SAG</f>
        <v>120579.043215768</v>
      </c>
      <c r="F27" s="18" t="n">
        <f aca="false">(C27+D27)/(1-load_SAG)*ec_SAG</f>
        <v>84405.3302510374</v>
      </c>
      <c r="G27" s="18" t="n">
        <f aca="false">(C27+D27)/(1-load_SAG)*m_SAG</f>
        <v>48231.6172863071</v>
      </c>
      <c r="H27" s="18" t="n">
        <f aca="false">(C27+D27)/(1-load_SAG)*tax_SAG</f>
        <v>12057.9043215768</v>
      </c>
      <c r="I27" s="19" t="n">
        <f aca="false">SUM(C27:H27)</f>
        <v>1217848.33647925</v>
      </c>
      <c r="J27" s="20" t="n">
        <f aca="false">C27/(I27-H27)</f>
        <v>0.752380952380952</v>
      </c>
    </row>
    <row r="29" customFormat="false" ht="15" hidden="false" customHeight="false" outlineLevel="0" collapsed="false">
      <c r="B29" s="4" t="s">
        <v>36</v>
      </c>
      <c r="C29" s="5"/>
      <c r="D29" s="5"/>
      <c r="E29" s="5"/>
      <c r="F29" s="5"/>
      <c r="G29" s="5"/>
      <c r="H29" s="5"/>
      <c r="I29" s="5"/>
      <c r="J29" s="5"/>
    </row>
    <row r="30" customFormat="false" ht="31.5" hidden="false" customHeight="true" outlineLevel="0" collapsed="false">
      <c r="B30" s="6" t="s">
        <v>37</v>
      </c>
      <c r="C30" s="6" t="s">
        <v>30</v>
      </c>
      <c r="D30" s="6" t="s">
        <v>31</v>
      </c>
      <c r="E30" s="6" t="s">
        <v>32</v>
      </c>
      <c r="F30" s="6" t="s">
        <v>33</v>
      </c>
      <c r="G30" s="6" t="s">
        <v>34</v>
      </c>
      <c r="H30" s="6" t="s">
        <v>35</v>
      </c>
    </row>
    <row r="31" customFormat="false" ht="15" hidden="false" customHeight="false" outlineLevel="0" collapsed="false">
      <c r="B31" s="16" t="s">
        <v>38</v>
      </c>
      <c r="C31" s="18" t="n">
        <f aca="false">(INDEX(Matriz_SAU!$H$61:$H$70,MATCH("M|"&amp;$B31,Matriz_SAU!$D$61:$D$70,0))*INDEX(Exp_M,MATCH($B31,Exp_Band,0))+INDEX(Matriz_SAU!$H$61:$H$70,MATCH("F|"&amp;$B31,Matriz_SAU!$D$61:$D$70,0))*INDEX(Exp_F,MATCH($B31,Exp_Band,0)))/(INDEX(Exp_M,MATCH($B31,Exp_Band,0))+INDEX(Exp_F,MATCH($B31,Exp_Band,0)))</f>
        <v>119291.443359245</v>
      </c>
      <c r="D31" s="18" t="n">
        <f aca="false">(INDEX(Matriz_SAU!$M$61:$M$70,MATCH("M|"&amp;$B31,Matriz_SAU!$D$61:$D$70,0))*INDEX(Exp_M,MATCH($B31,Exp_Band,0))+INDEX(Matriz_SAU!$M$61:$M$70,MATCH("F|"&amp;$B31,Matriz_SAU!$D$61:$D$70,0))*INDEX(Exp_F,MATCH($B31,Exp_Band,0)))/(INDEX(Exp_M,MATCH($B31,Exp_Band,0))+INDEX(Exp_F,MATCH($B31,Exp_Band,0)))</f>
        <v>389561.173851289</v>
      </c>
      <c r="E31" s="18" t="n">
        <f aca="false">(INDEX(Matriz_SAU!$R$61:$R$70,MATCH("M|"&amp;$B31,Matriz_SAU!$D$61:$D$70,0))*INDEX(Exp_M,MATCH($B31,Exp_Band,0))+INDEX(Matriz_SAU!$R$61:$R$70,MATCH("F|"&amp;$B31,Matriz_SAU!$D$61:$D$70,0))*INDEX(Exp_F,MATCH($B31,Exp_Band,0)))/(INDEX(Exp_M,MATCH($B31,Exp_Band,0))+INDEX(Exp_F,MATCH($B31,Exp_Band,0)))</f>
        <v>770884.785803204</v>
      </c>
      <c r="F31" s="18" t="n">
        <f aca="false">(INDEX(Matriz_SAG!$H$61:$H$70,MATCH("M|"&amp;$B31,Matriz_SAG!$D$61:$D$70,0))*INDEX(Exp_M,MATCH($B31,Exp_Band,0))+INDEX(Matriz_SAG!$H$61:$H$70,MATCH("F|"&amp;$B31,Matriz_SAG!$D$61:$D$70,0))*INDEX(Exp_F,MATCH($B31,Exp_Band,0)))/(INDEX(Exp_M,MATCH($B31,Exp_Band,0))+INDEX(Exp_F,MATCH($B31,Exp_Band,0)))</f>
        <v>295365.139888431</v>
      </c>
      <c r="G31" s="18" t="n">
        <f aca="false">(INDEX(Matriz_SAG!$M$61:$M$70,MATCH("M|"&amp;$B31,Matriz_SAG!$D$61:$D$70,0))*INDEX(Exp_M,MATCH($B31,Exp_Band,0))+INDEX(Matriz_SAG!$M$61:$M$70,MATCH("F|"&amp;$B31,Matriz_SAG!$D$61:$D$70,0))*INDEX(Exp_F,MATCH($B31,Exp_Band,0)))/(INDEX(Exp_M,MATCH($B31,Exp_Band,0))+INDEX(Exp_F,MATCH($B31,Exp_Band,0)))</f>
        <v>356491.925635057</v>
      </c>
      <c r="H31" s="18" t="n">
        <f aca="false">(INDEX(Matriz_SAG!$R$61:$R$70,MATCH("M|"&amp;$B31,Matriz_SAG!$D$61:$D$70,0))*INDEX(Exp_M,MATCH($B31,Exp_Band,0))+INDEX(Matriz_SAG!$R$61:$R$70,MATCH("F|"&amp;$B31,Matriz_SAG!$D$61:$D$70,0))*INDEX(Exp_F,MATCH($B31,Exp_Band,0)))/(INDEX(Exp_M,MATCH($B31,Exp_Band,0))+INDEX(Exp_F,MATCH($B31,Exp_Band,0)))</f>
        <v>679533.50317957</v>
      </c>
    </row>
    <row r="32" customFormat="false" ht="15" hidden="false" customHeight="false" outlineLevel="0" collapsed="false">
      <c r="B32" s="21" t="s">
        <v>39</v>
      </c>
      <c r="C32" s="18" t="n">
        <f aca="false">(INDEX(Matriz_SAU!$H$61:$H$70,MATCH("M|"&amp;$B32,Matriz_SAU!$D$61:$D$70,0))*INDEX(Exp_M,MATCH($B32,Exp_Band,0))+INDEX(Matriz_SAU!$H$61:$H$70,MATCH("F|"&amp;$B32,Matriz_SAU!$D$61:$D$70,0))*INDEX(Exp_F,MATCH($B32,Exp_Band,0)))/(INDEX(Exp_M,MATCH($B32,Exp_Band,0))+INDEX(Exp_F,MATCH($B32,Exp_Band,0)))</f>
        <v>165586.989532499</v>
      </c>
      <c r="D32" s="18" t="n">
        <f aca="false">(INDEX(Matriz_SAU!$M$61:$M$70,MATCH("M|"&amp;$B32,Matriz_SAU!$D$61:$D$70,0))*INDEX(Exp_M,MATCH($B32,Exp_Band,0))+INDEX(Matriz_SAU!$M$61:$M$70,MATCH("F|"&amp;$B32,Matriz_SAU!$D$61:$D$70,0))*INDEX(Exp_F,MATCH($B32,Exp_Band,0)))/(INDEX(Exp_M,MATCH($B32,Exp_Band,0))+INDEX(Exp_F,MATCH($B32,Exp_Band,0)))</f>
        <v>509083.848427353</v>
      </c>
      <c r="E32" s="18" t="n">
        <f aca="false">(INDEX(Matriz_SAU!$R$61:$R$70,MATCH("M|"&amp;$B32,Matriz_SAU!$D$61:$D$70,0))*INDEX(Exp_M,MATCH($B32,Exp_Band,0))+INDEX(Matriz_SAU!$R$61:$R$70,MATCH("F|"&amp;$B32,Matriz_SAU!$D$61:$D$70,0))*INDEX(Exp_F,MATCH($B32,Exp_Band,0)))/(INDEX(Exp_M,MATCH($B32,Exp_Band,0))+INDEX(Exp_F,MATCH($B32,Exp_Band,0)))</f>
        <v>1194927.81896923</v>
      </c>
      <c r="F32" s="18" t="n">
        <f aca="false">(INDEX(Matriz_SAG!$H$61:$H$70,MATCH("M|"&amp;$B32,Matriz_SAG!$D$61:$D$70,0))*INDEX(Exp_M,MATCH($B32,Exp_Band,0))+INDEX(Matriz_SAG!$H$61:$H$70,MATCH("F|"&amp;$B32,Matriz_SAG!$D$61:$D$70,0))*INDEX(Exp_F,MATCH($B32,Exp_Band,0)))/(INDEX(Exp_M,MATCH($B32,Exp_Band,0))+INDEX(Exp_F,MATCH($B32,Exp_Band,0)))</f>
        <v>415037.424952619</v>
      </c>
      <c r="G32" s="18" t="n">
        <f aca="false">(INDEX(Matriz_SAG!$M$61:$M$70,MATCH("M|"&amp;$B32,Matriz_SAG!$D$61:$D$70,0))*INDEX(Exp_M,MATCH($B32,Exp_Band,0))+INDEX(Matriz_SAG!$M$61:$M$70,MATCH("F|"&amp;$B32,Matriz_SAG!$D$61:$D$70,0))*INDEX(Exp_F,MATCH($B32,Exp_Band,0)))/(INDEX(Exp_M,MATCH($B32,Exp_Band,0))+INDEX(Exp_F,MATCH($B32,Exp_Band,0)))</f>
        <v>511391.492574476</v>
      </c>
      <c r="H32" s="18" t="n">
        <f aca="false">(INDEX(Matriz_SAG!$R$61:$R$70,MATCH("M|"&amp;$B32,Matriz_SAG!$D$61:$D$70,0))*INDEX(Exp_M,MATCH($B32,Exp_Band,0))+INDEX(Matriz_SAG!$R$61:$R$70,MATCH("F|"&amp;$B32,Matriz_SAG!$D$61:$D$70,0))*INDEX(Exp_F,MATCH($B32,Exp_Band,0)))/(INDEX(Exp_M,MATCH($B32,Exp_Band,0))+INDEX(Exp_F,MATCH($B32,Exp_Band,0)))</f>
        <v>1042517.37474121</v>
      </c>
    </row>
    <row r="33" customFormat="false" ht="15" hidden="false" customHeight="false" outlineLevel="0" collapsed="false">
      <c r="B33" s="16" t="s">
        <v>40</v>
      </c>
      <c r="C33" s="18" t="n">
        <f aca="false">(INDEX(Matriz_SAU!$H$61:$H$70,MATCH("M|"&amp;$B33,Matriz_SAU!$D$61:$D$70,0))*INDEX(Exp_M,MATCH($B33,Exp_Band,0))+INDEX(Matriz_SAU!$H$61:$H$70,MATCH("F|"&amp;$B33,Matriz_SAU!$D$61:$D$70,0))*INDEX(Exp_F,MATCH($B33,Exp_Band,0)))/(INDEX(Exp_M,MATCH($B33,Exp_Band,0))+INDEX(Exp_F,MATCH($B33,Exp_Band,0)))</f>
        <v>218143.504988342</v>
      </c>
      <c r="D33" s="18" t="n">
        <f aca="false">(INDEX(Matriz_SAU!$M$61:$M$70,MATCH("M|"&amp;$B33,Matriz_SAU!$D$61:$D$70,0))*INDEX(Exp_M,MATCH($B33,Exp_Band,0))+INDEX(Matriz_SAU!$M$61:$M$70,MATCH("F|"&amp;$B33,Matriz_SAU!$D$61:$D$70,0))*INDEX(Exp_F,MATCH($B33,Exp_Band,0)))/(INDEX(Exp_M,MATCH($B33,Exp_Band,0))+INDEX(Exp_F,MATCH($B33,Exp_Band,0)))</f>
        <v>635595.119712944</v>
      </c>
      <c r="E33" s="18" t="n">
        <f aca="false">(INDEX(Matriz_SAU!$R$61:$R$70,MATCH("M|"&amp;$B33,Matriz_SAU!$D$61:$D$70,0))*INDEX(Exp_M,MATCH($B33,Exp_Band,0))+INDEX(Matriz_SAU!$R$61:$R$70,MATCH("F|"&amp;$B33,Matriz_SAU!$D$61:$D$70,0))*INDEX(Exp_F,MATCH($B33,Exp_Band,0)))/(INDEX(Exp_M,MATCH($B33,Exp_Band,0))+INDEX(Exp_F,MATCH($B33,Exp_Band,0)))</f>
        <v>1531164.92471042</v>
      </c>
      <c r="F33" s="18" t="n">
        <f aca="false">(INDEX(Matriz_SAG!$H$61:$H$70,MATCH("M|"&amp;$B33,Matriz_SAG!$D$61:$D$70,0))*INDEX(Exp_M,MATCH($B33,Exp_Band,0))+INDEX(Matriz_SAG!$H$61:$H$70,MATCH("F|"&amp;$B33,Matriz_SAG!$D$61:$D$70,0))*INDEX(Exp_F,MATCH($B33,Exp_Band,0)))/(INDEX(Exp_M,MATCH($B33,Exp_Band,0))+INDEX(Exp_F,MATCH($B33,Exp_Band,0)))</f>
        <v>486622.326568096</v>
      </c>
      <c r="G33" s="18" t="n">
        <f aca="false">(INDEX(Matriz_SAG!$M$61:$M$70,MATCH("M|"&amp;$B33,Matriz_SAG!$D$61:$D$70,0))*INDEX(Exp_M,MATCH($B33,Exp_Band,0))+INDEX(Matriz_SAG!$M$61:$M$70,MATCH("F|"&amp;$B33,Matriz_SAG!$D$61:$D$70,0))*INDEX(Exp_F,MATCH($B33,Exp_Band,0)))/(INDEX(Exp_M,MATCH($B33,Exp_Band,0))+INDEX(Exp_F,MATCH($B33,Exp_Band,0)))</f>
        <v>595134.552946937</v>
      </c>
      <c r="H33" s="18" t="n">
        <f aca="false">(INDEX(Matriz_SAG!$R$61:$R$70,MATCH("M|"&amp;$B33,Matriz_SAG!$D$61:$D$70,0))*INDEX(Exp_M,MATCH($B33,Exp_Band,0))+INDEX(Matriz_SAG!$R$61:$R$70,MATCH("F|"&amp;$B33,Matriz_SAG!$D$61:$D$70,0))*INDEX(Exp_F,MATCH($B33,Exp_Band,0)))/(INDEX(Exp_M,MATCH($B33,Exp_Band,0))+INDEX(Exp_F,MATCH($B33,Exp_Band,0)))</f>
        <v>1296848.01128502</v>
      </c>
    </row>
    <row r="34" customFormat="false" ht="15" hidden="false" customHeight="false" outlineLevel="0" collapsed="false">
      <c r="B34" s="21" t="s">
        <v>41</v>
      </c>
      <c r="C34" s="18" t="n">
        <f aca="false">(INDEX(Matriz_SAU!$H$61:$H$70,MATCH("M|"&amp;$B34,Matriz_SAU!$D$61:$D$70,0))*INDEX(Exp_M,MATCH($B34,Exp_Band,0))+INDEX(Matriz_SAU!$H$61:$H$70,MATCH("F|"&amp;$B34,Matriz_SAU!$D$61:$D$70,0))*INDEX(Exp_F,MATCH($B34,Exp_Band,0)))/(INDEX(Exp_M,MATCH($B34,Exp_Band,0))+INDEX(Exp_F,MATCH($B34,Exp_Band,0)))</f>
        <v>323276.032606561</v>
      </c>
      <c r="D34" s="18" t="n">
        <f aca="false">(INDEX(Matriz_SAU!$M$61:$M$70,MATCH("M|"&amp;$B34,Matriz_SAU!$D$61:$D$70,0))*INDEX(Exp_M,MATCH($B34,Exp_Band,0))+INDEX(Matriz_SAU!$M$61:$M$70,MATCH("F|"&amp;$B34,Matriz_SAU!$D$61:$D$70,0))*INDEX(Exp_F,MATCH($B34,Exp_Band,0)))/(INDEX(Exp_M,MATCH($B34,Exp_Band,0))+INDEX(Exp_F,MATCH($B34,Exp_Band,0)))</f>
        <v>879736.450111736</v>
      </c>
      <c r="E34" s="18" t="n">
        <f aca="false">(INDEX(Matriz_SAU!$R$61:$R$70,MATCH("M|"&amp;$B34,Matriz_SAU!$D$61:$D$70,0))*INDEX(Exp_M,MATCH($B34,Exp_Band,0))+INDEX(Matriz_SAU!$R$61:$R$70,MATCH("F|"&amp;$B34,Matriz_SAU!$D$61:$D$70,0))*INDEX(Exp_F,MATCH($B34,Exp_Band,0)))/(INDEX(Exp_M,MATCH($B34,Exp_Band,0))+INDEX(Exp_F,MATCH($B34,Exp_Band,0)))</f>
        <v>2171087.13043641</v>
      </c>
      <c r="F34" s="18" t="n">
        <f aca="false">(INDEX(Matriz_SAG!$H$61:$H$70,MATCH("M|"&amp;$B34,Matriz_SAG!$D$61:$D$70,0))*INDEX(Exp_M,MATCH($B34,Exp_Band,0))+INDEX(Matriz_SAG!$H$61:$H$70,MATCH("F|"&amp;$B34,Matriz_SAG!$D$61:$D$70,0))*INDEX(Exp_F,MATCH($B34,Exp_Band,0)))/(INDEX(Exp_M,MATCH($B34,Exp_Band,0))+INDEX(Exp_F,MATCH($B34,Exp_Band,0)))</f>
        <v>655760.652261827</v>
      </c>
      <c r="G34" s="18" t="n">
        <f aca="false">(INDEX(Matriz_SAG!$M$61:$M$70,MATCH("M|"&amp;$B34,Matriz_SAG!$D$61:$D$70,0))*INDEX(Exp_M,MATCH($B34,Exp_Band,0))+INDEX(Matriz_SAG!$M$61:$M$70,MATCH("F|"&amp;$B34,Matriz_SAG!$D$61:$D$70,0))*INDEX(Exp_F,MATCH($B34,Exp_Band,0)))/(INDEX(Exp_M,MATCH($B34,Exp_Band,0))+INDEX(Exp_F,MATCH($B34,Exp_Band,0)))</f>
        <v>802667.686856464</v>
      </c>
      <c r="H34" s="18" t="n">
        <f aca="false">(INDEX(Matriz_SAG!$R$61:$R$70,MATCH("M|"&amp;$B34,Matriz_SAG!$D$61:$D$70,0))*INDEX(Exp_M,MATCH($B34,Exp_Band,0))+INDEX(Matriz_SAG!$R$61:$R$70,MATCH("F|"&amp;$B34,Matriz_SAG!$D$61:$D$70,0))*INDEX(Exp_F,MATCH($B34,Exp_Band,0)))/(INDEX(Exp_M,MATCH($B34,Exp_Band,0))+INDEX(Exp_F,MATCH($B34,Exp_Band,0)))</f>
        <v>1782199.28523666</v>
      </c>
    </row>
    <row r="35" customFormat="false" ht="15" hidden="false" customHeight="false" outlineLevel="0" collapsed="false">
      <c r="B35" s="16" t="s">
        <v>42</v>
      </c>
      <c r="C35" s="18" t="n">
        <f aca="false">(INDEX(Matriz_SAU!$H$61:$H$70,MATCH("M|"&amp;$B35,Matriz_SAU!$D$61:$D$70,0))*INDEX(Exp_M,MATCH($B35,Exp_Band,0))+INDEX(Matriz_SAU!$H$61:$H$70,MATCH("F|"&amp;$B35,Matriz_SAU!$D$61:$D$70,0))*INDEX(Exp_F,MATCH($B35,Exp_Band,0)))/(INDEX(Exp_M,MATCH($B35,Exp_Band,0))+INDEX(Exp_F,MATCH($B35,Exp_Band,0)))</f>
        <v>473245.178461657</v>
      </c>
      <c r="D35" s="18" t="n">
        <f aca="false">(INDEX(Matriz_SAU!$M$61:$M$70,MATCH("M|"&amp;$B35,Matriz_SAU!$D$61:$D$70,0))*INDEX(Exp_M,MATCH($B35,Exp_Band,0))+INDEX(Matriz_SAU!$M$61:$M$70,MATCH("F|"&amp;$B35,Matriz_SAU!$D$61:$D$70,0))*INDEX(Exp_F,MATCH($B35,Exp_Band,0)))/(INDEX(Exp_M,MATCH($B35,Exp_Band,0))+INDEX(Exp_F,MATCH($B35,Exp_Band,0)))</f>
        <v>1191572.21243105</v>
      </c>
      <c r="E35" s="18" t="n">
        <f aca="false">(INDEX(Matriz_SAU!$R$61:$R$70,MATCH("M|"&amp;$B35,Matriz_SAU!$D$61:$D$70,0))*INDEX(Exp_M,MATCH($B35,Exp_Band,0))+INDEX(Matriz_SAU!$R$61:$R$70,MATCH("F|"&amp;$B35,Matriz_SAU!$D$61:$D$70,0))*INDEX(Exp_F,MATCH($B35,Exp_Band,0)))/(INDEX(Exp_M,MATCH($B35,Exp_Band,0))+INDEX(Exp_F,MATCH($B35,Exp_Band,0)))</f>
        <v>2844468.17009406</v>
      </c>
      <c r="F35" s="18" t="n">
        <f aca="false">(INDEX(Matriz_SAG!$H$61:$H$70,MATCH("M|"&amp;$B35,Matriz_SAG!$D$61:$D$70,0))*INDEX(Exp_M,MATCH($B35,Exp_Band,0))+INDEX(Matriz_SAG!$H$61:$H$70,MATCH("F|"&amp;$B35,Matriz_SAG!$D$61:$D$70,0))*INDEX(Exp_F,MATCH($B35,Exp_Band,0)))/(INDEX(Exp_M,MATCH($B35,Exp_Band,0))+INDEX(Exp_F,MATCH($B35,Exp_Band,0)))</f>
        <v>883607.930630698</v>
      </c>
      <c r="G35" s="18" t="n">
        <f aca="false">(INDEX(Matriz_SAG!$M$61:$M$70,MATCH("M|"&amp;$B35,Matriz_SAG!$D$61:$D$70,0))*INDEX(Exp_M,MATCH($B35,Exp_Band,0))+INDEX(Matriz_SAG!$M$61:$M$70,MATCH("F|"&amp;$B35,Matriz_SAG!$D$61:$D$70,0))*INDEX(Exp_F,MATCH($B35,Exp_Band,0)))/(INDEX(Exp_M,MATCH($B35,Exp_Band,0))+INDEX(Exp_F,MATCH($B35,Exp_Band,0)))</f>
        <v>1087983.5377167</v>
      </c>
      <c r="H35" s="18" t="n">
        <f aca="false">(INDEX(Matriz_SAG!$R$61:$R$70,MATCH("M|"&amp;$B35,Matriz_SAG!$D$61:$D$70,0))*INDEX(Exp_M,MATCH($B35,Exp_Band,0))+INDEX(Matriz_SAG!$R$61:$R$70,MATCH("F|"&amp;$B35,Matriz_SAG!$D$61:$D$70,0))*INDEX(Exp_F,MATCH($B35,Exp_Band,0)))/(INDEX(Exp_M,MATCH($B35,Exp_Band,0))+INDEX(Exp_F,MATCH($B35,Exp_Band,0)))</f>
        <v>2316177.17444314</v>
      </c>
    </row>
    <row r="36" customFormat="false" ht="15" hidden="false" customHeight="false" outlineLevel="0" collapsed="false">
      <c r="B36" s="4" t="s">
        <v>43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customFormat="false" ht="31.5" hidden="false" customHeight="true" outlineLevel="0" collapsed="false">
      <c r="B37" s="6" t="s">
        <v>44</v>
      </c>
      <c r="C37" s="6" t="s">
        <v>45</v>
      </c>
      <c r="D37" s="6" t="s">
        <v>5</v>
      </c>
      <c r="E37" s="6" t="s">
        <v>46</v>
      </c>
    </row>
    <row r="38" customFormat="false" ht="15" hidden="false" customHeight="false" outlineLevel="0" collapsed="false">
      <c r="B38" s="7" t="s">
        <v>47</v>
      </c>
      <c r="C38" s="22" t="s">
        <v>48</v>
      </c>
      <c r="D38" s="23" t="n">
        <v>46203</v>
      </c>
      <c r="E38" s="3" t="s">
        <v>49</v>
      </c>
    </row>
    <row r="39" customFormat="false" ht="15" hidden="false" customHeight="false" outlineLevel="0" collapsed="false">
      <c r="B39" s="9" t="s">
        <v>50</v>
      </c>
      <c r="C39" s="24" t="s">
        <v>51</v>
      </c>
      <c r="D39" s="25" t="n">
        <v>931.27</v>
      </c>
      <c r="E39" s="3" t="s">
        <v>52</v>
      </c>
    </row>
    <row r="40" customFormat="false" ht="15" hidden="false" customHeight="false" outlineLevel="0" collapsed="false">
      <c r="B40" s="7" t="s">
        <v>53</v>
      </c>
      <c r="C40" s="22" t="s">
        <v>54</v>
      </c>
      <c r="D40" s="26" t="n">
        <v>0.109</v>
      </c>
      <c r="E40" s="3" t="s">
        <v>55</v>
      </c>
    </row>
    <row r="41" customFormat="false" ht="15" hidden="false" customHeight="false" outlineLevel="0" collapsed="false">
      <c r="B41" s="9" t="s">
        <v>56</v>
      </c>
      <c r="C41" s="24" t="s">
        <v>57</v>
      </c>
      <c r="D41" s="26" t="n">
        <v>0.04</v>
      </c>
      <c r="E41" s="3" t="s">
        <v>58</v>
      </c>
    </row>
    <row r="42" customFormat="false" ht="15" hidden="false" customHeight="false" outlineLevel="0" collapsed="false">
      <c r="B42" s="7" t="s">
        <v>59</v>
      </c>
      <c r="C42" s="22" t="s">
        <v>60</v>
      </c>
      <c r="D42" s="26" t="n">
        <v>0.025</v>
      </c>
      <c r="E42" s="3" t="s">
        <v>61</v>
      </c>
    </row>
    <row r="43" customFormat="false" ht="15" hidden="false" customHeight="false" outlineLevel="0" collapsed="false">
      <c r="B43" s="9" t="s">
        <v>62</v>
      </c>
      <c r="C43" s="24" t="s">
        <v>63</v>
      </c>
      <c r="D43" s="8" t="n">
        <f aca="false">(1+cpi)*(1+med_excess)*(1+fx_comp)-1</f>
        <v>0.182194</v>
      </c>
      <c r="E43" s="3" t="s">
        <v>64</v>
      </c>
    </row>
    <row r="44" customFormat="false" ht="15" hidden="false" customHeight="false" outlineLevel="0" collapsed="false">
      <c r="B44" s="7" t="s">
        <v>65</v>
      </c>
      <c r="C44" s="22" t="s">
        <v>66</v>
      </c>
      <c r="D44" s="27" t="n">
        <v>12</v>
      </c>
      <c r="E44" s="3" t="s">
        <v>67</v>
      </c>
    </row>
    <row r="45" customFormat="false" ht="15" hidden="false" customHeight="false" outlineLevel="0" collapsed="false">
      <c r="B45" s="9" t="s">
        <v>68</v>
      </c>
      <c r="C45" s="24" t="s">
        <v>69</v>
      </c>
      <c r="D45" s="15" t="n">
        <f aca="false">(1+med_trend)^(proj_m/12)</f>
        <v>1.182194</v>
      </c>
      <c r="E45" s="3" t="s">
        <v>70</v>
      </c>
    </row>
    <row r="48" customFormat="false" ht="15" hidden="false" customHeight="false" outlineLevel="0" collapsed="false">
      <c r="B48" s="4" t="s">
        <v>71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customFormat="false" ht="31.5" hidden="false" customHeight="true" outlineLevel="0" collapsed="false">
      <c r="B49" s="6" t="s">
        <v>44</v>
      </c>
      <c r="C49" s="6" t="s">
        <v>45</v>
      </c>
      <c r="D49" s="6" t="s">
        <v>72</v>
      </c>
      <c r="E49" s="6" t="s">
        <v>73</v>
      </c>
      <c r="F49" s="6" t="s">
        <v>46</v>
      </c>
    </row>
    <row r="50" customFormat="false" ht="15" hidden="false" customHeight="false" outlineLevel="0" collapsed="false">
      <c r="B50" s="7" t="s">
        <v>74</v>
      </c>
      <c r="C50" s="22" t="s">
        <v>75</v>
      </c>
      <c r="D50" s="26" t="n">
        <v>0.08</v>
      </c>
      <c r="E50" s="26" t="n">
        <v>0.05</v>
      </c>
      <c r="F50" s="3" t="s">
        <v>76</v>
      </c>
    </row>
    <row r="51" customFormat="false" ht="15" hidden="false" customHeight="false" outlineLevel="0" collapsed="false">
      <c r="B51" s="9" t="s">
        <v>77</v>
      </c>
      <c r="C51" s="24" t="s">
        <v>78</v>
      </c>
      <c r="D51" s="26" t="n">
        <v>0.13</v>
      </c>
      <c r="E51" s="26" t="n">
        <v>0.1</v>
      </c>
      <c r="F51" s="3" t="s">
        <v>79</v>
      </c>
    </row>
    <row r="52" customFormat="false" ht="15" hidden="false" customHeight="false" outlineLevel="0" collapsed="false">
      <c r="B52" s="7" t="s">
        <v>80</v>
      </c>
      <c r="C52" s="22" t="s">
        <v>81</v>
      </c>
      <c r="D52" s="26" t="n">
        <v>0.12</v>
      </c>
      <c r="E52" s="26" t="n">
        <v>0.07</v>
      </c>
      <c r="F52" s="3" t="s">
        <v>82</v>
      </c>
    </row>
    <row r="53" customFormat="false" ht="15" hidden="false" customHeight="false" outlineLevel="0" collapsed="false">
      <c r="B53" s="9" t="s">
        <v>83</v>
      </c>
      <c r="C53" s="24" t="s">
        <v>84</v>
      </c>
      <c r="D53" s="26" t="n">
        <v>0.05</v>
      </c>
      <c r="E53" s="26" t="n">
        <v>0.04</v>
      </c>
      <c r="F53" s="3" t="s">
        <v>85</v>
      </c>
    </row>
    <row r="54" customFormat="false" ht="15" hidden="false" customHeight="false" outlineLevel="0" collapsed="false">
      <c r="B54" s="16" t="s">
        <v>86</v>
      </c>
      <c r="C54" s="22" t="s">
        <v>87</v>
      </c>
      <c r="D54" s="8" t="n">
        <f aca="false">ea_SAU+ec_SAU+m_SAU</f>
        <v>0.3</v>
      </c>
      <c r="E54" s="8" t="n">
        <f aca="false">ea_SAG+ec_SAG+m_SAG</f>
        <v>0.21</v>
      </c>
    </row>
    <row r="55" customFormat="false" ht="15" hidden="false" customHeight="false" outlineLevel="0" collapsed="false">
      <c r="B55" s="9" t="s">
        <v>88</v>
      </c>
      <c r="C55" s="24" t="s">
        <v>89</v>
      </c>
      <c r="D55" s="26" t="n">
        <v>0</v>
      </c>
      <c r="E55" s="26" t="n">
        <v>0</v>
      </c>
      <c r="F55" s="3" t="s">
        <v>90</v>
      </c>
    </row>
    <row r="56" customFormat="false" ht="15" hidden="false" customHeight="false" outlineLevel="0" collapsed="false">
      <c r="B56" s="7" t="s">
        <v>91</v>
      </c>
      <c r="C56" s="22" t="s">
        <v>92</v>
      </c>
      <c r="D56" s="26" t="n">
        <v>0.01</v>
      </c>
      <c r="E56" s="26" t="n">
        <v>0.01</v>
      </c>
      <c r="F56" s="28" t="s">
        <v>93</v>
      </c>
    </row>
    <row r="57" customFormat="false" ht="15" hidden="false" customHeight="false" outlineLevel="0" collapsed="false">
      <c r="B57" s="21" t="s">
        <v>94</v>
      </c>
      <c r="C57" s="24" t="s">
        <v>95</v>
      </c>
      <c r="D57" s="8" t="n">
        <f aca="false">is_SAU+arseg_SAU</f>
        <v>0.01</v>
      </c>
      <c r="E57" s="8" t="n">
        <f aca="false">is_SAG+arseg_SAG</f>
        <v>0.01</v>
      </c>
    </row>
    <row r="58" customFormat="false" ht="15" hidden="false" customHeight="false" outlineLevel="0" collapsed="false">
      <c r="B58" s="16" t="s">
        <v>96</v>
      </c>
      <c r="C58" s="22" t="s">
        <v>97</v>
      </c>
      <c r="D58" s="8" t="n">
        <f aca="false">(1-load_SAU)/(1+sig_SAU)</f>
        <v>0.648148148148148</v>
      </c>
      <c r="E58" s="8" t="n">
        <f aca="false">(1-load_SAG)/(1+sig_SAG)</f>
        <v>0.752380952380952</v>
      </c>
      <c r="F58" s="3" t="s">
        <v>98</v>
      </c>
    </row>
    <row r="60" customFormat="false" ht="31.5" hidden="false" customHeight="true" outlineLevel="0" collapsed="false">
      <c r="B60" s="6" t="s">
        <v>99</v>
      </c>
      <c r="C60" s="6" t="s">
        <v>100</v>
      </c>
      <c r="D60" s="6" t="s">
        <v>101</v>
      </c>
    </row>
    <row r="61" customFormat="false" ht="15" hidden="false" customHeight="false" outlineLevel="0" collapsed="false">
      <c r="B61" s="7" t="s">
        <v>102</v>
      </c>
      <c r="C61" s="27" t="n">
        <v>1</v>
      </c>
      <c r="D61" s="26" t="n">
        <v>0</v>
      </c>
    </row>
    <row r="62" customFormat="false" ht="15" hidden="false" customHeight="false" outlineLevel="0" collapsed="false">
      <c r="B62" s="7" t="s">
        <v>103</v>
      </c>
      <c r="C62" s="27" t="n">
        <v>2</v>
      </c>
      <c r="D62" s="26" t="n">
        <v>0.015</v>
      </c>
    </row>
    <row r="63" customFormat="false" ht="15" hidden="false" customHeight="false" outlineLevel="0" collapsed="false">
      <c r="B63" s="7" t="s">
        <v>104</v>
      </c>
      <c r="C63" s="27" t="n">
        <v>4</v>
      </c>
      <c r="D63" s="26" t="n">
        <v>0.025</v>
      </c>
    </row>
    <row r="64" customFormat="false" ht="15" hidden="false" customHeight="false" outlineLevel="0" collapsed="false">
      <c r="B64" s="7" t="s">
        <v>105</v>
      </c>
      <c r="C64" s="27" t="n">
        <v>12</v>
      </c>
      <c r="D64" s="26" t="n">
        <v>0.04</v>
      </c>
    </row>
    <row r="67" customFormat="false" ht="15" hidden="false" customHeight="false" outlineLevel="0" collapsed="false">
      <c r="B67" s="4" t="s">
        <v>106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customFormat="false" ht="31.5" hidden="false" customHeight="true" outlineLevel="0" collapsed="false">
      <c r="B68" s="6" t="s">
        <v>107</v>
      </c>
      <c r="C68" s="6" t="s">
        <v>108</v>
      </c>
      <c r="D68" s="6" t="s">
        <v>109</v>
      </c>
      <c r="E68" s="6" t="s">
        <v>110</v>
      </c>
      <c r="F68" s="6" t="s">
        <v>111</v>
      </c>
      <c r="G68" s="6" t="s">
        <v>112</v>
      </c>
      <c r="H68" s="6" t="s">
        <v>113</v>
      </c>
      <c r="I68" s="6" t="s">
        <v>114</v>
      </c>
    </row>
    <row r="69" customFormat="false" ht="15" hidden="false" customHeight="false" outlineLevel="0" collapsed="false">
      <c r="B69" s="16" t="s">
        <v>38</v>
      </c>
      <c r="C69" s="29" t="n">
        <v>0</v>
      </c>
      <c r="D69" s="29" t="n">
        <v>17</v>
      </c>
      <c r="E69" s="27" t="n">
        <v>3200</v>
      </c>
      <c r="F69" s="27" t="n">
        <v>3100</v>
      </c>
      <c r="G69" s="29" t="n">
        <f aca="false">E69+F69</f>
        <v>6300</v>
      </c>
      <c r="H69" s="20" t="n">
        <f aca="false">G69/$G$74</f>
        <v>0.255578093306288</v>
      </c>
      <c r="I69" s="20" t="n">
        <f aca="false">F69/G69</f>
        <v>0.492063492063492</v>
      </c>
    </row>
    <row r="70" customFormat="false" ht="15" hidden="false" customHeight="false" outlineLevel="0" collapsed="false">
      <c r="B70" s="21" t="s">
        <v>39</v>
      </c>
      <c r="C70" s="30" t="n">
        <v>18</v>
      </c>
      <c r="D70" s="30" t="n">
        <v>35</v>
      </c>
      <c r="E70" s="27" t="n">
        <v>4600</v>
      </c>
      <c r="F70" s="27" t="n">
        <v>4200</v>
      </c>
      <c r="G70" s="29" t="n">
        <f aca="false">E70+F70</f>
        <v>8800</v>
      </c>
      <c r="H70" s="20" t="n">
        <f aca="false">G70/$G$74</f>
        <v>0.356997971602434</v>
      </c>
      <c r="I70" s="20" t="n">
        <f aca="false">F70/G70</f>
        <v>0.477272727272727</v>
      </c>
    </row>
    <row r="71" customFormat="false" ht="15" hidden="false" customHeight="false" outlineLevel="0" collapsed="false">
      <c r="B71" s="16" t="s">
        <v>40</v>
      </c>
      <c r="C71" s="29" t="n">
        <v>36</v>
      </c>
      <c r="D71" s="29" t="n">
        <v>50</v>
      </c>
      <c r="E71" s="27" t="n">
        <v>3300</v>
      </c>
      <c r="F71" s="27" t="n">
        <v>2700</v>
      </c>
      <c r="G71" s="29" t="n">
        <f aca="false">E71+F71</f>
        <v>6000</v>
      </c>
      <c r="H71" s="20" t="n">
        <f aca="false">G71/$G$74</f>
        <v>0.243407707910751</v>
      </c>
      <c r="I71" s="20" t="n">
        <f aca="false">F71/G71</f>
        <v>0.45</v>
      </c>
    </row>
    <row r="72" customFormat="false" ht="15" hidden="false" customHeight="false" outlineLevel="0" collapsed="false">
      <c r="B72" s="21" t="s">
        <v>41</v>
      </c>
      <c r="C72" s="30" t="n">
        <v>51</v>
      </c>
      <c r="D72" s="30" t="n">
        <v>65</v>
      </c>
      <c r="E72" s="27" t="n">
        <v>1500</v>
      </c>
      <c r="F72" s="27" t="n">
        <v>1200</v>
      </c>
      <c r="G72" s="29" t="n">
        <f aca="false">E72+F72</f>
        <v>2700</v>
      </c>
      <c r="H72" s="20" t="n">
        <f aca="false">G72/$G$74</f>
        <v>0.109533468559838</v>
      </c>
      <c r="I72" s="20" t="n">
        <f aca="false">F72/G72</f>
        <v>0.444444444444444</v>
      </c>
    </row>
    <row r="73" customFormat="false" ht="15" hidden="false" customHeight="false" outlineLevel="0" collapsed="false">
      <c r="B73" s="16" t="s">
        <v>42</v>
      </c>
      <c r="C73" s="29" t="n">
        <v>66</v>
      </c>
      <c r="D73" s="29" t="n">
        <v>120</v>
      </c>
      <c r="E73" s="27" t="n">
        <v>450</v>
      </c>
      <c r="F73" s="27" t="n">
        <v>400</v>
      </c>
      <c r="G73" s="29" t="n">
        <f aca="false">E73+F73</f>
        <v>850</v>
      </c>
      <c r="H73" s="20" t="n">
        <f aca="false">G73/$G$74</f>
        <v>0.0344827586206897</v>
      </c>
      <c r="I73" s="20" t="n">
        <f aca="false">F73/G73</f>
        <v>0.470588235294118</v>
      </c>
    </row>
    <row r="74" customFormat="false" ht="15" hidden="false" customHeight="false" outlineLevel="0" collapsed="false">
      <c r="B74" s="16" t="s">
        <v>115</v>
      </c>
      <c r="E74" s="31" t="n">
        <f aca="false">SUM(E69:E73)</f>
        <v>13050</v>
      </c>
      <c r="F74" s="31" t="n">
        <f aca="false">SUM(F69:F73)</f>
        <v>11600</v>
      </c>
      <c r="G74" s="31" t="n">
        <f aca="false">SUM(G69:G73)</f>
        <v>24650</v>
      </c>
      <c r="H74" s="8" t="n">
        <f aca="false">SUM(H69:H73)</f>
        <v>1</v>
      </c>
      <c r="I74" s="8" t="n">
        <f aca="false">F74/G74</f>
        <v>0.470588235294118</v>
      </c>
    </row>
    <row r="75" customFormat="false" ht="15" hidden="false" customHeight="false" outlineLevel="0" collapsed="false">
      <c r="B75" s="3" t="s">
        <v>116</v>
      </c>
    </row>
    <row r="77" customFormat="false" ht="15" hidden="false" customHeight="false" outlineLevel="0" collapsed="false">
      <c r="B77" s="4" t="s">
        <v>117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customFormat="false" ht="43.5" hidden="false" customHeight="true" outlineLevel="0" collapsed="false">
      <c r="B78" s="6" t="s">
        <v>118</v>
      </c>
      <c r="C78" s="6" t="s">
        <v>45</v>
      </c>
      <c r="D78" s="6" t="s">
        <v>119</v>
      </c>
      <c r="E78" s="6" t="s">
        <v>120</v>
      </c>
      <c r="F78" s="6" t="s">
        <v>121</v>
      </c>
      <c r="G78" s="6" t="s">
        <v>122</v>
      </c>
      <c r="H78" s="6" t="s">
        <v>123</v>
      </c>
      <c r="I78" s="6" t="s">
        <v>124</v>
      </c>
      <c r="J78" s="6" t="s">
        <v>125</v>
      </c>
      <c r="K78" s="6" t="s">
        <v>126</v>
      </c>
      <c r="L78" s="6" t="s">
        <v>127</v>
      </c>
      <c r="M78" s="6" t="s">
        <v>128</v>
      </c>
      <c r="N78" s="6" t="s">
        <v>129</v>
      </c>
      <c r="O78" s="6" t="s">
        <v>130</v>
      </c>
    </row>
    <row r="79" customFormat="false" ht="15" hidden="false" customHeight="false" outlineLevel="0" collapsed="false">
      <c r="B79" s="7" t="s">
        <v>131</v>
      </c>
      <c r="C79" s="16" t="s">
        <v>132</v>
      </c>
      <c r="D79" s="7" t="s">
        <v>133</v>
      </c>
      <c r="E79" s="32" t="s">
        <v>134</v>
      </c>
      <c r="F79" s="17" t="s">
        <v>135</v>
      </c>
      <c r="G79" s="33" t="n">
        <v>0.045</v>
      </c>
      <c r="H79" s="34" t="n">
        <f aca="false">G79*1000</f>
        <v>45</v>
      </c>
      <c r="I79" s="35" t="n">
        <v>820000</v>
      </c>
      <c r="J79" s="35" t="n">
        <v>1050000</v>
      </c>
      <c r="K79" s="26" t="n">
        <v>0.85</v>
      </c>
      <c r="L79" s="14" t="n">
        <f aca="false">K79*I79+(1-K79)*J79</f>
        <v>854500</v>
      </c>
      <c r="M79" s="36" t="n">
        <v>1.5</v>
      </c>
      <c r="N79" s="37" t="s">
        <v>136</v>
      </c>
      <c r="O79" s="3" t="s">
        <v>137</v>
      </c>
    </row>
    <row r="80" customFormat="false" ht="15" hidden="false" customHeight="false" outlineLevel="0" collapsed="false">
      <c r="B80" s="9" t="s">
        <v>138</v>
      </c>
      <c r="C80" s="21" t="s">
        <v>139</v>
      </c>
      <c r="D80" s="9" t="s">
        <v>133</v>
      </c>
      <c r="E80" s="38" t="s">
        <v>140</v>
      </c>
      <c r="F80" s="17" t="s">
        <v>135</v>
      </c>
      <c r="G80" s="33" t="n">
        <v>0.024</v>
      </c>
      <c r="H80" s="34" t="n">
        <f aca="false">G80*1000</f>
        <v>24</v>
      </c>
      <c r="I80" s="35" t="n">
        <v>1950000</v>
      </c>
      <c r="J80" s="35" t="n">
        <v>2500000</v>
      </c>
      <c r="K80" s="26" t="n">
        <v>0.85</v>
      </c>
      <c r="L80" s="14" t="n">
        <f aca="false">K80*I80+(1-K80)*J80</f>
        <v>2032500</v>
      </c>
      <c r="M80" s="36" t="n">
        <v>1.3</v>
      </c>
      <c r="N80" s="37" t="s">
        <v>136</v>
      </c>
      <c r="O80" s="3" t="s">
        <v>141</v>
      </c>
    </row>
    <row r="81" customFormat="false" ht="15" hidden="false" customHeight="false" outlineLevel="0" collapsed="false">
      <c r="B81" s="7" t="s">
        <v>142</v>
      </c>
      <c r="C81" s="16" t="s">
        <v>143</v>
      </c>
      <c r="D81" s="7" t="s">
        <v>133</v>
      </c>
      <c r="E81" s="32" t="s">
        <v>144</v>
      </c>
      <c r="F81" s="17" t="s">
        <v>135</v>
      </c>
      <c r="G81" s="33" t="n">
        <v>0.0035</v>
      </c>
      <c r="H81" s="34" t="n">
        <f aca="false">G81*1000</f>
        <v>3.5</v>
      </c>
      <c r="I81" s="35" t="n">
        <v>2750000</v>
      </c>
      <c r="J81" s="35" t="n">
        <v>3600000</v>
      </c>
      <c r="K81" s="26" t="n">
        <v>0.9</v>
      </c>
      <c r="L81" s="14" t="n">
        <f aca="false">K81*I81+(1-K81)*J81</f>
        <v>2835000</v>
      </c>
      <c r="M81" s="36" t="n">
        <v>1.2</v>
      </c>
      <c r="N81" s="37" t="s">
        <v>136</v>
      </c>
      <c r="O81" s="3" t="s">
        <v>145</v>
      </c>
    </row>
    <row r="82" customFormat="false" ht="15" hidden="false" customHeight="false" outlineLevel="0" collapsed="false">
      <c r="B82" s="9" t="s">
        <v>146</v>
      </c>
      <c r="C82" s="21" t="s">
        <v>147</v>
      </c>
      <c r="D82" s="9" t="s">
        <v>133</v>
      </c>
      <c r="E82" s="38" t="s">
        <v>148</v>
      </c>
      <c r="F82" s="17" t="s">
        <v>135</v>
      </c>
      <c r="G82" s="33" t="n">
        <v>2.6</v>
      </c>
      <c r="H82" s="34" t="n">
        <f aca="false">G82*1000</f>
        <v>2600</v>
      </c>
      <c r="I82" s="35" t="n">
        <v>22000</v>
      </c>
      <c r="J82" s="35" t="n">
        <v>32000</v>
      </c>
      <c r="K82" s="26" t="n">
        <v>0.8</v>
      </c>
      <c r="L82" s="14" t="n">
        <f aca="false">K82*I82+(1-K82)*J82</f>
        <v>24000</v>
      </c>
      <c r="M82" s="36" t="n">
        <v>1</v>
      </c>
      <c r="N82" s="37" t="s">
        <v>136</v>
      </c>
      <c r="O82" s="3" t="s">
        <v>149</v>
      </c>
    </row>
    <row r="83" customFormat="false" ht="15" hidden="false" customHeight="false" outlineLevel="0" collapsed="false">
      <c r="B83" s="7" t="s">
        <v>150</v>
      </c>
      <c r="C83" s="16" t="s">
        <v>151</v>
      </c>
      <c r="D83" s="7" t="s">
        <v>133</v>
      </c>
      <c r="E83" s="32" t="s">
        <v>152</v>
      </c>
      <c r="F83" s="17" t="s">
        <v>135</v>
      </c>
      <c r="G83" s="33" t="n">
        <v>3.8</v>
      </c>
      <c r="H83" s="34" t="n">
        <f aca="false">G83*1000</f>
        <v>3800</v>
      </c>
      <c r="I83" s="35" t="n">
        <v>13500</v>
      </c>
      <c r="J83" s="35" t="n">
        <v>19000</v>
      </c>
      <c r="K83" s="26" t="n">
        <v>0.8</v>
      </c>
      <c r="L83" s="14" t="n">
        <f aca="false">K83*I83+(1-K83)*J83</f>
        <v>14600</v>
      </c>
      <c r="M83" s="36" t="n">
        <v>1.5</v>
      </c>
      <c r="N83" s="37" t="s">
        <v>136</v>
      </c>
      <c r="O83" s="3" t="s">
        <v>153</v>
      </c>
    </row>
    <row r="84" customFormat="false" ht="15" hidden="false" customHeight="false" outlineLevel="0" collapsed="false">
      <c r="B84" s="9" t="s">
        <v>154</v>
      </c>
      <c r="C84" s="21" t="s">
        <v>155</v>
      </c>
      <c r="D84" s="9" t="s">
        <v>133</v>
      </c>
      <c r="E84" s="38" t="s">
        <v>156</v>
      </c>
      <c r="F84" s="17" t="s">
        <v>135</v>
      </c>
      <c r="G84" s="33" t="n">
        <v>0.3</v>
      </c>
      <c r="H84" s="34" t="n">
        <f aca="false">G84*1000</f>
        <v>300</v>
      </c>
      <c r="I84" s="35" t="n">
        <v>35000</v>
      </c>
      <c r="J84" s="35" t="n">
        <v>45000</v>
      </c>
      <c r="K84" s="26" t="n">
        <v>0.85</v>
      </c>
      <c r="L84" s="14" t="n">
        <f aca="false">K84*I84+(1-K84)*J84</f>
        <v>36500</v>
      </c>
      <c r="M84" s="36" t="n">
        <v>0.8</v>
      </c>
      <c r="N84" s="37" t="s">
        <v>136</v>
      </c>
      <c r="O84" s="3" t="s">
        <v>157</v>
      </c>
    </row>
    <row r="85" customFormat="false" ht="15" hidden="false" customHeight="false" outlineLevel="0" collapsed="false">
      <c r="B85" s="7" t="s">
        <v>158</v>
      </c>
      <c r="C85" s="16" t="s">
        <v>159</v>
      </c>
      <c r="D85" s="7" t="s">
        <v>133</v>
      </c>
      <c r="E85" s="32" t="s">
        <v>160</v>
      </c>
      <c r="F85" s="17" t="s">
        <v>161</v>
      </c>
      <c r="G85" s="33" t="n">
        <v>0.075</v>
      </c>
      <c r="H85" s="34" t="n">
        <f aca="false">G85*1000</f>
        <v>75</v>
      </c>
      <c r="I85" s="18" t="n">
        <f aca="false">(1-tx_ces)*pn_R+tx_ces*pc_R</f>
        <v>835400</v>
      </c>
      <c r="J85" s="18" t="n">
        <f aca="false">(1-tx_ces)*pn_L+tx_ces*pc_L</f>
        <v>1086600</v>
      </c>
      <c r="K85" s="26" t="n">
        <v>0.8</v>
      </c>
      <c r="L85" s="14" t="n">
        <f aca="false">K85*I85+(1-K85)*J85</f>
        <v>885640</v>
      </c>
      <c r="M85" s="36" t="n">
        <v>0.5</v>
      </c>
      <c r="N85" s="37" t="s">
        <v>136</v>
      </c>
      <c r="O85" s="3" t="s">
        <v>162</v>
      </c>
    </row>
    <row r="86" customFormat="false" ht="15" hidden="false" customHeight="false" outlineLevel="0" collapsed="false">
      <c r="B86" s="9" t="s">
        <v>163</v>
      </c>
      <c r="C86" s="21" t="s">
        <v>164</v>
      </c>
      <c r="D86" s="9" t="s">
        <v>133</v>
      </c>
      <c r="E86" s="38" t="s">
        <v>156</v>
      </c>
      <c r="F86" s="17" t="s">
        <v>135</v>
      </c>
      <c r="G86" s="33" t="n">
        <v>0.42</v>
      </c>
      <c r="H86" s="34" t="n">
        <f aca="false">G86*1000</f>
        <v>420</v>
      </c>
      <c r="I86" s="35" t="n">
        <v>42000</v>
      </c>
      <c r="J86" s="35" t="n">
        <v>55000</v>
      </c>
      <c r="K86" s="26" t="n">
        <v>0.9</v>
      </c>
      <c r="L86" s="14" t="n">
        <f aca="false">K86*I86+(1-K86)*J86</f>
        <v>43300</v>
      </c>
      <c r="M86" s="36" t="n">
        <v>1</v>
      </c>
      <c r="N86" s="37" t="s">
        <v>136</v>
      </c>
      <c r="O86" s="3" t="s">
        <v>165</v>
      </c>
    </row>
    <row r="87" customFormat="false" ht="15" hidden="false" customHeight="false" outlineLevel="0" collapsed="false">
      <c r="B87" s="7" t="s">
        <v>166</v>
      </c>
      <c r="C87" s="16" t="s">
        <v>167</v>
      </c>
      <c r="D87" s="7" t="s">
        <v>133</v>
      </c>
      <c r="E87" s="32" t="s">
        <v>168</v>
      </c>
      <c r="F87" s="17" t="s">
        <v>135</v>
      </c>
      <c r="G87" s="33" t="n">
        <v>0.018</v>
      </c>
      <c r="H87" s="34" t="n">
        <f aca="false">G87*1000</f>
        <v>18</v>
      </c>
      <c r="I87" s="35" t="n">
        <v>75000</v>
      </c>
      <c r="J87" s="35" t="n">
        <v>95000</v>
      </c>
      <c r="K87" s="26" t="n">
        <v>0.95</v>
      </c>
      <c r="L87" s="14" t="n">
        <f aca="false">K87*I87+(1-K87)*J87</f>
        <v>76000</v>
      </c>
      <c r="M87" s="36" t="n">
        <v>0.6</v>
      </c>
      <c r="N87" s="37" t="s">
        <v>169</v>
      </c>
      <c r="O87" s="3" t="s">
        <v>170</v>
      </c>
    </row>
    <row r="88" customFormat="false" ht="15" hidden="false" customHeight="false" outlineLevel="0" collapsed="false">
      <c r="B88" s="9" t="s">
        <v>171</v>
      </c>
      <c r="C88" s="21" t="s">
        <v>172</v>
      </c>
      <c r="D88" s="9" t="s">
        <v>133</v>
      </c>
      <c r="E88" s="38" t="s">
        <v>173</v>
      </c>
      <c r="F88" s="17" t="s">
        <v>135</v>
      </c>
      <c r="G88" s="33" t="n">
        <v>3.4</v>
      </c>
      <c r="H88" s="34" t="n">
        <f aca="false">G88*1000</f>
        <v>3400</v>
      </c>
      <c r="I88" s="35" t="n">
        <v>16500</v>
      </c>
      <c r="J88" s="35" t="n">
        <v>19500</v>
      </c>
      <c r="K88" s="26" t="n">
        <v>0.7</v>
      </c>
      <c r="L88" s="14" t="n">
        <f aca="false">K88*I88+(1-K88)*J88</f>
        <v>17400</v>
      </c>
      <c r="M88" s="36" t="n">
        <v>1.2</v>
      </c>
      <c r="N88" s="37" t="s">
        <v>169</v>
      </c>
      <c r="O88" s="3" t="s">
        <v>174</v>
      </c>
    </row>
    <row r="89" customFormat="false" ht="15" hidden="false" customHeight="false" outlineLevel="0" collapsed="false">
      <c r="B89" s="7" t="s">
        <v>175</v>
      </c>
      <c r="C89" s="16" t="s">
        <v>176</v>
      </c>
      <c r="D89" s="7" t="s">
        <v>177</v>
      </c>
      <c r="E89" s="32" t="s">
        <v>152</v>
      </c>
      <c r="F89" s="17" t="s">
        <v>135</v>
      </c>
      <c r="G89" s="33" t="n">
        <v>0.85</v>
      </c>
      <c r="H89" s="34" t="n">
        <f aca="false">G89*1000</f>
        <v>850</v>
      </c>
      <c r="I89" s="35" t="n">
        <v>32000</v>
      </c>
      <c r="J89" s="35" t="n">
        <v>42000</v>
      </c>
      <c r="K89" s="26" t="n">
        <v>0.75</v>
      </c>
      <c r="L89" s="14" t="n">
        <f aca="false">K89*I89+(1-K89)*J89</f>
        <v>34500</v>
      </c>
      <c r="M89" s="36" t="n">
        <v>1</v>
      </c>
      <c r="N89" s="37" t="s">
        <v>136</v>
      </c>
      <c r="O89" s="3" t="s">
        <v>178</v>
      </c>
    </row>
    <row r="90" customFormat="false" ht="15" hidden="false" customHeight="false" outlineLevel="0" collapsed="false">
      <c r="B90" s="9" t="s">
        <v>179</v>
      </c>
      <c r="C90" s="21" t="s">
        <v>180</v>
      </c>
      <c r="D90" s="9" t="s">
        <v>177</v>
      </c>
      <c r="E90" s="38" t="s">
        <v>181</v>
      </c>
      <c r="F90" s="17" t="s">
        <v>135</v>
      </c>
      <c r="G90" s="33" t="n">
        <v>0.02</v>
      </c>
      <c r="H90" s="34" t="n">
        <f aca="false">G90*1000</f>
        <v>20</v>
      </c>
      <c r="I90" s="35" t="n">
        <v>280000</v>
      </c>
      <c r="J90" s="35" t="n">
        <v>360000</v>
      </c>
      <c r="K90" s="26" t="n">
        <v>0.7</v>
      </c>
      <c r="L90" s="14" t="n">
        <f aca="false">K90*I90+(1-K90)*J90</f>
        <v>304000</v>
      </c>
      <c r="M90" s="36" t="n">
        <v>0.7</v>
      </c>
      <c r="N90" s="37" t="s">
        <v>169</v>
      </c>
      <c r="O90" s="3" t="s">
        <v>182</v>
      </c>
    </row>
    <row r="91" customFormat="false" ht="15" hidden="false" customHeight="false" outlineLevel="0" collapsed="false">
      <c r="B91" s="7" t="s">
        <v>183</v>
      </c>
      <c r="C91" s="16" t="s">
        <v>184</v>
      </c>
      <c r="D91" s="7" t="s">
        <v>177</v>
      </c>
      <c r="E91" s="32" t="s">
        <v>185</v>
      </c>
      <c r="F91" s="17" t="s">
        <v>135</v>
      </c>
      <c r="G91" s="33" t="n">
        <v>0.22</v>
      </c>
      <c r="H91" s="34" t="n">
        <f aca="false">G91*1000</f>
        <v>220</v>
      </c>
      <c r="I91" s="35" t="n">
        <v>95000</v>
      </c>
      <c r="J91" s="35" t="n">
        <v>120000</v>
      </c>
      <c r="K91" s="26" t="n">
        <v>0.7</v>
      </c>
      <c r="L91" s="14" t="n">
        <f aca="false">K91*I91+(1-K91)*J91</f>
        <v>102500</v>
      </c>
      <c r="M91" s="36" t="n">
        <v>0.5</v>
      </c>
      <c r="N91" s="37" t="s">
        <v>169</v>
      </c>
      <c r="O91" s="3" t="s">
        <v>186</v>
      </c>
    </row>
    <row r="92" customFormat="false" ht="15" hidden="false" customHeight="false" outlineLevel="0" collapsed="false">
      <c r="B92" s="9" t="s">
        <v>187</v>
      </c>
      <c r="C92" s="21" t="s">
        <v>188</v>
      </c>
      <c r="D92" s="9" t="s">
        <v>177</v>
      </c>
      <c r="E92" s="38" t="s">
        <v>189</v>
      </c>
      <c r="F92" s="17" t="s">
        <v>135</v>
      </c>
      <c r="G92" s="33" t="n">
        <v>0.55</v>
      </c>
      <c r="H92" s="34" t="n">
        <f aca="false">G92*1000</f>
        <v>550</v>
      </c>
      <c r="I92" s="35" t="n">
        <v>75000</v>
      </c>
      <c r="J92" s="35" t="n">
        <v>95000</v>
      </c>
      <c r="K92" s="26" t="n">
        <v>0.95</v>
      </c>
      <c r="L92" s="14" t="n">
        <f aca="false">K92*I92+(1-K92)*J92</f>
        <v>76000</v>
      </c>
      <c r="M92" s="36" t="n">
        <v>0.3</v>
      </c>
      <c r="N92" s="37" t="s">
        <v>169</v>
      </c>
      <c r="O92" s="3" t="s">
        <v>190</v>
      </c>
    </row>
    <row r="93" customFormat="false" ht="15" hidden="false" customHeight="false" outlineLevel="0" collapsed="false">
      <c r="B93" s="7" t="s">
        <v>191</v>
      </c>
      <c r="C93" s="16" t="s">
        <v>192</v>
      </c>
      <c r="D93" s="7" t="s">
        <v>177</v>
      </c>
      <c r="E93" s="32" t="s">
        <v>193</v>
      </c>
      <c r="F93" s="17" t="s">
        <v>135</v>
      </c>
      <c r="G93" s="33" t="n">
        <v>0.0012</v>
      </c>
      <c r="H93" s="34" t="n">
        <f aca="false">G93*1000</f>
        <v>1.2</v>
      </c>
      <c r="I93" s="18" t="n">
        <f aca="false">evac_usd*fx_usd</f>
        <v>44700960</v>
      </c>
      <c r="J93" s="18" t="n">
        <f aca="false">evac_usd*fx_usd</f>
        <v>44700960</v>
      </c>
      <c r="K93" s="26" t="n">
        <v>1</v>
      </c>
      <c r="L93" s="14" t="n">
        <f aca="false">K93*I93+(1-K93)*J93</f>
        <v>44700960</v>
      </c>
      <c r="M93" s="36" t="n">
        <v>1</v>
      </c>
      <c r="N93" s="37" t="s">
        <v>169</v>
      </c>
      <c r="O93" s="3" t="s">
        <v>194</v>
      </c>
    </row>
    <row r="94" customFormat="false" ht="15" hidden="false" customHeight="false" outlineLevel="0" collapsed="false">
      <c r="B94" s="9" t="s">
        <v>195</v>
      </c>
      <c r="C94" s="21" t="s">
        <v>196</v>
      </c>
      <c r="D94" s="9" t="s">
        <v>177</v>
      </c>
      <c r="E94" s="38" t="s">
        <v>197</v>
      </c>
      <c r="F94" s="17" t="s">
        <v>135</v>
      </c>
      <c r="G94" s="33" t="n">
        <v>0.00055</v>
      </c>
      <c r="H94" s="34" t="n">
        <f aca="false">G94*1000</f>
        <v>0.55</v>
      </c>
      <c r="I94" s="35" t="n">
        <v>16000000</v>
      </c>
      <c r="J94" s="35" t="n">
        <v>22000000</v>
      </c>
      <c r="K94" s="26" t="n">
        <v>0.6</v>
      </c>
      <c r="L94" s="14" t="n">
        <f aca="false">K94*I94+(1-K94)*J94</f>
        <v>18400000</v>
      </c>
      <c r="M94" s="36" t="n">
        <v>1</v>
      </c>
      <c r="N94" s="37" t="s">
        <v>169</v>
      </c>
      <c r="O94" s="3" t="s">
        <v>198</v>
      </c>
    </row>
    <row r="95" customFormat="false" ht="15" hidden="false" customHeight="false" outlineLevel="0" collapsed="false">
      <c r="B95" s="7" t="s">
        <v>199</v>
      </c>
      <c r="C95" s="16" t="s">
        <v>200</v>
      </c>
      <c r="D95" s="7" t="s">
        <v>177</v>
      </c>
      <c r="E95" s="32" t="s">
        <v>201</v>
      </c>
      <c r="F95" s="17" t="s">
        <v>135</v>
      </c>
      <c r="G95" s="33" t="n">
        <v>0.00025</v>
      </c>
      <c r="H95" s="34" t="n">
        <f aca="false">G95*1000</f>
        <v>0.25</v>
      </c>
      <c r="I95" s="18" t="n">
        <f aca="false">hemo_ses*hemo_R</f>
        <v>14040000</v>
      </c>
      <c r="J95" s="18" t="n">
        <f aca="false">hemo_ses*hemo_L</f>
        <v>17160000</v>
      </c>
      <c r="K95" s="26" t="n">
        <v>0.9</v>
      </c>
      <c r="L95" s="14" t="n">
        <f aca="false">K95*I95+(1-K95)*J95</f>
        <v>14352000</v>
      </c>
      <c r="M95" s="36" t="n">
        <v>0.4</v>
      </c>
      <c r="N95" s="37" t="s">
        <v>169</v>
      </c>
      <c r="O95" s="3" t="s">
        <v>202</v>
      </c>
    </row>
    <row r="97" customFormat="false" ht="31.5" hidden="false" customHeight="true" outlineLevel="0" collapsed="false">
      <c r="B97" s="6" t="s">
        <v>203</v>
      </c>
      <c r="C97" s="6" t="s">
        <v>45</v>
      </c>
      <c r="D97" s="6" t="s">
        <v>5</v>
      </c>
      <c r="E97" s="6" t="s">
        <v>204</v>
      </c>
    </row>
    <row r="98" customFormat="false" ht="15" hidden="false" customHeight="false" outlineLevel="0" collapsed="false">
      <c r="B98" s="7" t="s">
        <v>205</v>
      </c>
      <c r="C98" s="22" t="s">
        <v>206</v>
      </c>
      <c r="D98" s="35" t="n">
        <v>520000</v>
      </c>
      <c r="E98" s="3" t="s">
        <v>207</v>
      </c>
    </row>
    <row r="99" customFormat="false" ht="15" hidden="false" customHeight="false" outlineLevel="0" collapsed="false">
      <c r="B99" s="7" t="s">
        <v>208</v>
      </c>
      <c r="C99" s="22" t="s">
        <v>209</v>
      </c>
      <c r="D99" s="35" t="n">
        <v>680000</v>
      </c>
      <c r="E99" s="3"/>
    </row>
    <row r="100" customFormat="false" ht="15" hidden="false" customHeight="false" outlineLevel="0" collapsed="false">
      <c r="B100" s="7" t="s">
        <v>210</v>
      </c>
      <c r="C100" s="22" t="s">
        <v>211</v>
      </c>
      <c r="D100" s="35" t="n">
        <v>1350000</v>
      </c>
      <c r="E100" s="3" t="s">
        <v>212</v>
      </c>
    </row>
    <row r="101" customFormat="false" ht="15" hidden="false" customHeight="false" outlineLevel="0" collapsed="false">
      <c r="B101" s="7" t="s">
        <v>213</v>
      </c>
      <c r="C101" s="22" t="s">
        <v>214</v>
      </c>
      <c r="D101" s="35" t="n">
        <v>1750000</v>
      </c>
      <c r="E101" s="3"/>
    </row>
    <row r="102" customFormat="false" ht="15" hidden="false" customHeight="false" outlineLevel="0" collapsed="false">
      <c r="B102" s="7" t="s">
        <v>215</v>
      </c>
      <c r="C102" s="22" t="s">
        <v>216</v>
      </c>
      <c r="D102" s="26" t="n">
        <v>0.38</v>
      </c>
      <c r="E102" s="3" t="s">
        <v>217</v>
      </c>
    </row>
    <row r="103" customFormat="false" ht="15" hidden="false" customHeight="false" outlineLevel="0" collapsed="false">
      <c r="B103" s="7" t="s">
        <v>218</v>
      </c>
      <c r="C103" s="22" t="s">
        <v>219</v>
      </c>
      <c r="D103" s="27" t="n">
        <v>156</v>
      </c>
      <c r="E103" s="3" t="s">
        <v>220</v>
      </c>
    </row>
    <row r="104" customFormat="false" ht="15" hidden="false" customHeight="false" outlineLevel="0" collapsed="false">
      <c r="B104" s="7" t="s">
        <v>221</v>
      </c>
      <c r="C104" s="22" t="s">
        <v>222</v>
      </c>
      <c r="D104" s="35" t="n">
        <v>90000</v>
      </c>
      <c r="E104" s="3"/>
    </row>
    <row r="105" customFormat="false" ht="15" hidden="false" customHeight="false" outlineLevel="0" collapsed="false">
      <c r="B105" s="7" t="s">
        <v>223</v>
      </c>
      <c r="C105" s="22" t="s">
        <v>224</v>
      </c>
      <c r="D105" s="35" t="n">
        <v>110000</v>
      </c>
      <c r="E105" s="3"/>
    </row>
    <row r="106" customFormat="false" ht="15" hidden="false" customHeight="false" outlineLevel="0" collapsed="false">
      <c r="B106" s="7" t="s">
        <v>225</v>
      </c>
      <c r="C106" s="22" t="s">
        <v>226</v>
      </c>
      <c r="D106" s="27" t="n">
        <v>48000</v>
      </c>
      <c r="E106" s="3" t="s">
        <v>227</v>
      </c>
    </row>
    <row r="107" customFormat="false" ht="15" hidden="false" customHeight="false" outlineLevel="0" collapsed="false">
      <c r="B107" s="7" t="s">
        <v>228</v>
      </c>
      <c r="C107" s="22" t="s">
        <v>229</v>
      </c>
      <c r="D107" s="39" t="n">
        <v>4</v>
      </c>
      <c r="E107" s="3"/>
    </row>
    <row r="108" customFormat="false" ht="15" hidden="false" customHeight="false" outlineLevel="0" collapsed="false">
      <c r="B108" s="7" t="s">
        <v>230</v>
      </c>
      <c r="C108" s="22" t="s">
        <v>231</v>
      </c>
      <c r="D108" s="39" t="n">
        <v>2.5</v>
      </c>
      <c r="E108" s="3"/>
    </row>
    <row r="109" customFormat="false" ht="15" hidden="false" customHeight="false" outlineLevel="0" collapsed="false">
      <c r="B109" s="7" t="s">
        <v>232</v>
      </c>
      <c r="C109" s="22" t="s">
        <v>233</v>
      </c>
      <c r="D109" s="35" t="n">
        <v>110000</v>
      </c>
      <c r="E109" s="3" t="s">
        <v>234</v>
      </c>
    </row>
    <row r="112" customFormat="false" ht="15" hidden="false" customHeight="false" outlineLevel="0" collapsed="false">
      <c r="B112" s="4" t="s">
        <v>235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customFormat="false" ht="31.5" hidden="false" customHeight="true" outlineLevel="0" collapsed="false">
      <c r="B113" s="6" t="s">
        <v>118</v>
      </c>
      <c r="C113" s="6" t="s">
        <v>45</v>
      </c>
      <c r="D113" s="6" t="s">
        <v>236</v>
      </c>
      <c r="E113" s="6" t="s">
        <v>237</v>
      </c>
      <c r="F113" s="6" t="s">
        <v>135</v>
      </c>
      <c r="G113" s="6" t="s">
        <v>161</v>
      </c>
      <c r="H113" s="6" t="s">
        <v>20</v>
      </c>
      <c r="I113" s="6" t="s">
        <v>238</v>
      </c>
      <c r="J113" s="6" t="s">
        <v>239</v>
      </c>
      <c r="K113" s="6" t="s">
        <v>240</v>
      </c>
      <c r="L113" s="6" t="s">
        <v>241</v>
      </c>
      <c r="M113" s="6" t="s">
        <v>242</v>
      </c>
    </row>
    <row r="114" customFormat="false" ht="15" hidden="false" customHeight="false" outlineLevel="0" collapsed="false">
      <c r="B114" s="7" t="str">
        <f aca="false">INDEX(Cov_Nome,MATCH(C114,Cov_Cod,0))</f>
        <v>Internamento Hospitalar Médico (incl. malária grave)</v>
      </c>
      <c r="C114" s="16" t="s">
        <v>132</v>
      </c>
      <c r="D114" s="33" t="n">
        <v>0.9</v>
      </c>
      <c r="E114" s="33" t="n">
        <v>0.85</v>
      </c>
      <c r="F114" s="33" t="n">
        <v>1</v>
      </c>
      <c r="G114" s="33" t="n">
        <v>1.15</v>
      </c>
      <c r="H114" s="33" t="n">
        <v>1.35</v>
      </c>
      <c r="I114" s="33" t="n">
        <v>1.4</v>
      </c>
      <c r="J114" s="33" t="n">
        <v>2.2</v>
      </c>
      <c r="K114" s="33" t="n">
        <v>2.05</v>
      </c>
      <c r="L114" s="33" t="n">
        <v>3.6</v>
      </c>
      <c r="M114" s="33" t="n">
        <v>3.3</v>
      </c>
    </row>
    <row r="115" customFormat="false" ht="15" hidden="false" customHeight="false" outlineLevel="0" collapsed="false">
      <c r="B115" s="7" t="str">
        <f aca="false">INDEX(Cov_Nome,MATCH(C115,Cov_Cod,0))</f>
        <v>Cirurgia (com internamento e de ambulatório)</v>
      </c>
      <c r="C115" s="16" t="s">
        <v>139</v>
      </c>
      <c r="D115" s="33" t="n">
        <v>0.45</v>
      </c>
      <c r="E115" s="33" t="n">
        <v>0.4</v>
      </c>
      <c r="F115" s="33" t="n">
        <v>1</v>
      </c>
      <c r="G115" s="33" t="n">
        <v>1.2</v>
      </c>
      <c r="H115" s="33" t="n">
        <v>1.55</v>
      </c>
      <c r="I115" s="33" t="n">
        <v>1.6</v>
      </c>
      <c r="J115" s="33" t="n">
        <v>2.4</v>
      </c>
      <c r="K115" s="33" t="n">
        <v>2.2</v>
      </c>
      <c r="L115" s="33" t="n">
        <v>3.2</v>
      </c>
      <c r="M115" s="33" t="n">
        <v>2.9</v>
      </c>
    </row>
    <row r="116" customFormat="false" ht="15" hidden="false" customHeight="false" outlineLevel="0" collapsed="false">
      <c r="B116" s="7" t="str">
        <f aca="false">INDEX(Cov_Nome,MATCH(C116,Cov_Cod,0))</f>
        <v>Cuidados Intensivos (UCI)</v>
      </c>
      <c r="C116" s="16" t="s">
        <v>143</v>
      </c>
      <c r="D116" s="33" t="n">
        <v>0.7</v>
      </c>
      <c r="E116" s="33" t="n">
        <v>0.65</v>
      </c>
      <c r="F116" s="33" t="n">
        <v>1</v>
      </c>
      <c r="G116" s="33" t="n">
        <v>0.9</v>
      </c>
      <c r="H116" s="33" t="n">
        <v>1.7</v>
      </c>
      <c r="I116" s="33" t="n">
        <v>1.4</v>
      </c>
      <c r="J116" s="33" t="n">
        <v>3</v>
      </c>
      <c r="K116" s="33" t="n">
        <v>2.5</v>
      </c>
      <c r="L116" s="33" t="n">
        <v>5</v>
      </c>
      <c r="M116" s="33" t="n">
        <v>4.2</v>
      </c>
    </row>
    <row r="117" customFormat="false" ht="15" hidden="false" customHeight="false" outlineLevel="0" collapsed="false">
      <c r="B117" s="7" t="str">
        <f aca="false">INDEX(Cov_Nome,MATCH(C117,Cov_Cod,0))</f>
        <v>Consultas de Clínica Geral e Especialidade (incl. teleconsulta)</v>
      </c>
      <c r="C117" s="16" t="s">
        <v>147</v>
      </c>
      <c r="D117" s="33" t="n">
        <v>1.15</v>
      </c>
      <c r="E117" s="33" t="n">
        <v>1.1</v>
      </c>
      <c r="F117" s="33" t="n">
        <v>1</v>
      </c>
      <c r="G117" s="33" t="n">
        <v>1.45</v>
      </c>
      <c r="H117" s="33" t="n">
        <v>1.25</v>
      </c>
      <c r="I117" s="33" t="n">
        <v>1.6</v>
      </c>
      <c r="J117" s="33" t="n">
        <v>1.65</v>
      </c>
      <c r="K117" s="33" t="n">
        <v>1.85</v>
      </c>
      <c r="L117" s="33" t="n">
        <v>2.1</v>
      </c>
      <c r="M117" s="33" t="n">
        <v>2.2</v>
      </c>
    </row>
    <row r="118" customFormat="false" ht="15" hidden="false" customHeight="false" outlineLevel="0" collapsed="false">
      <c r="B118" s="7" t="str">
        <f aca="false">INDEX(Cov_Nome,MATCH(C118,Cov_Cod,0))</f>
        <v>MCDT — Exames, Análises e Imagiologia</v>
      </c>
      <c r="C118" s="16" t="s">
        <v>151</v>
      </c>
      <c r="D118" s="33" t="n">
        <v>0.7</v>
      </c>
      <c r="E118" s="33" t="n">
        <v>0.7</v>
      </c>
      <c r="F118" s="33" t="n">
        <v>1</v>
      </c>
      <c r="G118" s="33" t="n">
        <v>1.5</v>
      </c>
      <c r="H118" s="33" t="n">
        <v>1.4</v>
      </c>
      <c r="I118" s="33" t="n">
        <v>1.75</v>
      </c>
      <c r="J118" s="33" t="n">
        <v>2.1</v>
      </c>
      <c r="K118" s="33" t="n">
        <v>2.2</v>
      </c>
      <c r="L118" s="33" t="n">
        <v>2.7</v>
      </c>
      <c r="M118" s="33" t="n">
        <v>2.7</v>
      </c>
    </row>
    <row r="119" customFormat="false" ht="15" hidden="false" customHeight="false" outlineLevel="0" collapsed="false">
      <c r="B119" s="7" t="str">
        <f aca="false">INDEX(Cov_Nome,MATCH(C119,Cov_Cod,0))</f>
        <v>Malária e Doenças Endémicas (ambulatório)</v>
      </c>
      <c r="C119" s="16" t="s">
        <v>155</v>
      </c>
      <c r="D119" s="33" t="n">
        <v>1.6</v>
      </c>
      <c r="E119" s="33" t="n">
        <v>1.55</v>
      </c>
      <c r="F119" s="33" t="n">
        <v>1</v>
      </c>
      <c r="G119" s="33" t="n">
        <v>1.05</v>
      </c>
      <c r="H119" s="33" t="n">
        <v>0.95</v>
      </c>
      <c r="I119" s="33" t="n">
        <v>1</v>
      </c>
      <c r="J119" s="33" t="n">
        <v>1.05</v>
      </c>
      <c r="K119" s="33" t="n">
        <v>1.05</v>
      </c>
      <c r="L119" s="33" t="n">
        <v>1.2</v>
      </c>
      <c r="M119" s="33" t="n">
        <v>1.2</v>
      </c>
    </row>
    <row r="120" customFormat="false" ht="15" hidden="false" customHeight="false" outlineLevel="0" collapsed="false">
      <c r="B120" s="7" t="str">
        <f aca="false">INDEX(Cov_Nome,MATCH(C120,Cov_Cod,0))</f>
        <v>Maternidade e Parto (Normal e Cesariana)</v>
      </c>
      <c r="C120" s="16" t="s">
        <v>159</v>
      </c>
      <c r="D120" s="33" t="n">
        <v>0</v>
      </c>
      <c r="E120" s="33" t="n">
        <v>0.05</v>
      </c>
      <c r="F120" s="33" t="n">
        <v>0</v>
      </c>
      <c r="G120" s="33" t="n">
        <v>1</v>
      </c>
      <c r="H120" s="33" t="n">
        <v>0</v>
      </c>
      <c r="I120" s="33" t="n">
        <v>0.35</v>
      </c>
      <c r="J120" s="33" t="n">
        <v>0</v>
      </c>
      <c r="K120" s="33" t="n">
        <v>0</v>
      </c>
      <c r="L120" s="33" t="n">
        <v>0</v>
      </c>
      <c r="M120" s="33" t="n">
        <v>0</v>
      </c>
    </row>
    <row r="121" customFormat="false" ht="15" hidden="false" customHeight="false" outlineLevel="0" collapsed="false">
      <c r="B121" s="7" t="str">
        <f aca="false">INDEX(Cov_Nome,MATCH(C121,Cov_Cod,0))</f>
        <v>Urgência Hospitalar</v>
      </c>
      <c r="C121" s="16" t="s">
        <v>164</v>
      </c>
      <c r="D121" s="33" t="n">
        <v>1.4</v>
      </c>
      <c r="E121" s="33" t="n">
        <v>1.35</v>
      </c>
      <c r="F121" s="33" t="n">
        <v>1</v>
      </c>
      <c r="G121" s="33" t="n">
        <v>1.1</v>
      </c>
      <c r="H121" s="33" t="n">
        <v>1.05</v>
      </c>
      <c r="I121" s="33" t="n">
        <v>1.1</v>
      </c>
      <c r="J121" s="33" t="n">
        <v>1.3</v>
      </c>
      <c r="K121" s="33" t="n">
        <v>1.3</v>
      </c>
      <c r="L121" s="33" t="n">
        <v>1.8</v>
      </c>
      <c r="M121" s="33" t="n">
        <v>1.8</v>
      </c>
    </row>
    <row r="122" customFormat="false" ht="15" hidden="false" customHeight="false" outlineLevel="0" collapsed="false">
      <c r="B122" s="7" t="str">
        <f aca="false">INDEX(Cov_Nome,MATCH(C122,Cov_Cod,0))</f>
        <v>Transporte em Ambulância / Emergência Médica</v>
      </c>
      <c r="C122" s="16" t="s">
        <v>167</v>
      </c>
      <c r="D122" s="33" t="n">
        <v>1</v>
      </c>
      <c r="E122" s="33" t="n">
        <v>1</v>
      </c>
      <c r="F122" s="33" t="n">
        <v>1</v>
      </c>
      <c r="G122" s="33" t="n">
        <v>1</v>
      </c>
      <c r="H122" s="33" t="n">
        <v>1.1</v>
      </c>
      <c r="I122" s="33" t="n">
        <v>1.1</v>
      </c>
      <c r="J122" s="33" t="n">
        <v>1.6</v>
      </c>
      <c r="K122" s="33" t="n">
        <v>1.6</v>
      </c>
      <c r="L122" s="33" t="n">
        <v>2.8</v>
      </c>
      <c r="M122" s="33" t="n">
        <v>2.8</v>
      </c>
    </row>
    <row r="123" customFormat="false" ht="15" hidden="false" customHeight="false" outlineLevel="0" collapsed="false">
      <c r="B123" s="7" t="str">
        <f aca="false">INDEX(Cov_Nome,MATCH(C123,Cov_Cod,0))</f>
        <v>Medicamentos em Ambulatório (Farmácia)</v>
      </c>
      <c r="C123" s="16" t="s">
        <v>172</v>
      </c>
      <c r="D123" s="33" t="n">
        <v>0.65</v>
      </c>
      <c r="E123" s="33" t="n">
        <v>0.65</v>
      </c>
      <c r="F123" s="33" t="n">
        <v>1</v>
      </c>
      <c r="G123" s="33" t="n">
        <v>1.4</v>
      </c>
      <c r="H123" s="33" t="n">
        <v>1.6</v>
      </c>
      <c r="I123" s="33" t="n">
        <v>1.8</v>
      </c>
      <c r="J123" s="33" t="n">
        <v>2.6</v>
      </c>
      <c r="K123" s="33" t="n">
        <v>2.7</v>
      </c>
      <c r="L123" s="33" t="n">
        <v>3.4</v>
      </c>
      <c r="M123" s="33" t="n">
        <v>3.4</v>
      </c>
    </row>
    <row r="124" customFormat="false" ht="15" hidden="false" customHeight="false" outlineLevel="0" collapsed="false">
      <c r="B124" s="7" t="str">
        <f aca="false">INDEX(Cov_Nome,MATCH(C124,Cov_Cod,0))</f>
        <v>Estomatologia (tratamentos)</v>
      </c>
      <c r="C124" s="16" t="s">
        <v>176</v>
      </c>
      <c r="D124" s="33" t="n">
        <v>0.85</v>
      </c>
      <c r="E124" s="33" t="n">
        <v>0.85</v>
      </c>
      <c r="F124" s="33" t="n">
        <v>1</v>
      </c>
      <c r="G124" s="33" t="n">
        <v>1.15</v>
      </c>
      <c r="H124" s="33" t="n">
        <v>1.1</v>
      </c>
      <c r="I124" s="33" t="n">
        <v>1.2</v>
      </c>
      <c r="J124" s="33" t="n">
        <v>1.05</v>
      </c>
      <c r="K124" s="33" t="n">
        <v>1.1</v>
      </c>
      <c r="L124" s="33" t="n">
        <v>0.8</v>
      </c>
      <c r="M124" s="33" t="n">
        <v>0.8</v>
      </c>
    </row>
    <row r="125" customFormat="false" ht="15" hidden="false" customHeight="false" outlineLevel="0" collapsed="false">
      <c r="B125" s="7" t="str">
        <f aca="false">INDEX(Cov_Nome,MATCH(C125,Cov_Cod,0))</f>
        <v>Próteses Dentárias</v>
      </c>
      <c r="C125" s="16" t="s">
        <v>180</v>
      </c>
      <c r="D125" s="33" t="n">
        <v>0.1</v>
      </c>
      <c r="E125" s="33" t="n">
        <v>0.1</v>
      </c>
      <c r="F125" s="33" t="n">
        <v>1</v>
      </c>
      <c r="G125" s="33" t="n">
        <v>1</v>
      </c>
      <c r="H125" s="33" t="n">
        <v>2.2</v>
      </c>
      <c r="I125" s="33" t="n">
        <v>2.2</v>
      </c>
      <c r="J125" s="33" t="n">
        <v>3.5</v>
      </c>
      <c r="K125" s="33" t="n">
        <v>3.5</v>
      </c>
      <c r="L125" s="33" t="n">
        <v>4</v>
      </c>
      <c r="M125" s="33" t="n">
        <v>4</v>
      </c>
    </row>
    <row r="126" customFormat="false" ht="15" hidden="false" customHeight="false" outlineLevel="0" collapsed="false">
      <c r="B126" s="7" t="str">
        <f aca="false">INDEX(Cov_Nome,MATCH(C126,Cov_Cod,0))</f>
        <v>Óptica — Lentes e Armações</v>
      </c>
      <c r="C126" s="16" t="s">
        <v>184</v>
      </c>
      <c r="D126" s="33" t="n">
        <v>0.45</v>
      </c>
      <c r="E126" s="33" t="n">
        <v>0.5</v>
      </c>
      <c r="F126" s="33" t="n">
        <v>1</v>
      </c>
      <c r="G126" s="33" t="n">
        <v>1.1</v>
      </c>
      <c r="H126" s="33" t="n">
        <v>1.7</v>
      </c>
      <c r="I126" s="33" t="n">
        <v>1.8</v>
      </c>
      <c r="J126" s="33" t="n">
        <v>2.3</v>
      </c>
      <c r="K126" s="33" t="n">
        <v>2.4</v>
      </c>
      <c r="L126" s="33" t="n">
        <v>2.4</v>
      </c>
      <c r="M126" s="33" t="n">
        <v>2.5</v>
      </c>
    </row>
    <row r="127" customFormat="false" ht="15" hidden="false" customHeight="false" outlineLevel="0" collapsed="false">
      <c r="B127" s="7" t="str">
        <f aca="false">INDEX(Cov_Nome,MATCH(C127,Cov_Cod,0))</f>
        <v>Medicina Preventiva e Check-up Anual</v>
      </c>
      <c r="C127" s="16" t="s">
        <v>188</v>
      </c>
      <c r="D127" s="33" t="n">
        <v>0.6</v>
      </c>
      <c r="E127" s="33" t="n">
        <v>0.6</v>
      </c>
      <c r="F127" s="33" t="n">
        <v>1</v>
      </c>
      <c r="G127" s="33" t="n">
        <v>1.1</v>
      </c>
      <c r="H127" s="33" t="n">
        <v>1.3</v>
      </c>
      <c r="I127" s="33" t="n">
        <v>1.35</v>
      </c>
      <c r="J127" s="33" t="n">
        <v>1.5</v>
      </c>
      <c r="K127" s="33" t="n">
        <v>1.5</v>
      </c>
      <c r="L127" s="33" t="n">
        <v>1.6</v>
      </c>
      <c r="M127" s="33" t="n">
        <v>1.6</v>
      </c>
    </row>
    <row r="128" customFormat="false" ht="15" hidden="false" customHeight="false" outlineLevel="0" collapsed="false">
      <c r="B128" s="7" t="str">
        <f aca="false">INDEX(Cov_Nome,MATCH(C128,Cov_Cod,0))</f>
        <v>Evacuação Médica e Cobertura no Estrangeiro</v>
      </c>
      <c r="C128" s="16" t="s">
        <v>192</v>
      </c>
      <c r="D128" s="33" t="n">
        <v>0.6</v>
      </c>
      <c r="E128" s="33" t="n">
        <v>0.6</v>
      </c>
      <c r="F128" s="33" t="n">
        <v>1</v>
      </c>
      <c r="G128" s="33" t="n">
        <v>1.1</v>
      </c>
      <c r="H128" s="33" t="n">
        <v>1.6</v>
      </c>
      <c r="I128" s="33" t="n">
        <v>1.6</v>
      </c>
      <c r="J128" s="33" t="n">
        <v>2.8</v>
      </c>
      <c r="K128" s="33" t="n">
        <v>2.6</v>
      </c>
      <c r="L128" s="33" t="n">
        <v>4</v>
      </c>
      <c r="M128" s="33" t="n">
        <v>3.8</v>
      </c>
    </row>
    <row r="129" customFormat="false" ht="15" hidden="false" customHeight="false" outlineLevel="0" collapsed="false">
      <c r="B129" s="7" t="str">
        <f aca="false">INDEX(Cov_Nome,MATCH(C129,Cov_Cod,0))</f>
        <v>Doenças Graves — Oncologia</v>
      </c>
      <c r="C129" s="16" t="s">
        <v>196</v>
      </c>
      <c r="D129" s="33" t="n">
        <v>0.5</v>
      </c>
      <c r="E129" s="33" t="n">
        <v>0.5</v>
      </c>
      <c r="F129" s="33" t="n">
        <v>1</v>
      </c>
      <c r="G129" s="33" t="n">
        <v>1.6</v>
      </c>
      <c r="H129" s="33" t="n">
        <v>3.2</v>
      </c>
      <c r="I129" s="33" t="n">
        <v>4.5</v>
      </c>
      <c r="J129" s="33" t="n">
        <v>9</v>
      </c>
      <c r="K129" s="33" t="n">
        <v>8</v>
      </c>
      <c r="L129" s="33" t="n">
        <v>14</v>
      </c>
      <c r="M129" s="33" t="n">
        <v>11</v>
      </c>
    </row>
    <row r="130" customFormat="false" ht="15" hidden="false" customHeight="false" outlineLevel="0" collapsed="false">
      <c r="B130" s="7" t="str">
        <f aca="false">INDEX(Cov_Nome,MATCH(C130,Cov_Cod,0))</f>
        <v>Doenças Crónicas — Hemodiálise</v>
      </c>
      <c r="C130" s="16" t="s">
        <v>200</v>
      </c>
      <c r="D130" s="33" t="n">
        <v>0.2</v>
      </c>
      <c r="E130" s="33" t="n">
        <v>0.2</v>
      </c>
      <c r="F130" s="33" t="n">
        <v>1</v>
      </c>
      <c r="G130" s="33" t="n">
        <v>0.9</v>
      </c>
      <c r="H130" s="33" t="n">
        <v>2.5</v>
      </c>
      <c r="I130" s="33" t="n">
        <v>2.2</v>
      </c>
      <c r="J130" s="33" t="n">
        <v>5.5</v>
      </c>
      <c r="K130" s="33" t="n">
        <v>4.8</v>
      </c>
      <c r="L130" s="33" t="n">
        <v>7.5</v>
      </c>
      <c r="M130" s="33" t="n">
        <v>6.5</v>
      </c>
    </row>
    <row r="132" customFormat="false" ht="31.5" hidden="false" customHeight="true" outlineLevel="0" collapsed="false">
      <c r="B132" s="6" t="s">
        <v>243</v>
      </c>
      <c r="C132" s="6" t="s">
        <v>45</v>
      </c>
      <c r="D132" s="6" t="s">
        <v>38</v>
      </c>
      <c r="E132" s="6" t="s">
        <v>39</v>
      </c>
      <c r="F132" s="6" t="s">
        <v>40</v>
      </c>
      <c r="G132" s="6" t="s">
        <v>41</v>
      </c>
      <c r="H132" s="6" t="s">
        <v>42</v>
      </c>
    </row>
    <row r="133" customFormat="false" ht="15" hidden="false" customHeight="false" outlineLevel="0" collapsed="false">
      <c r="B133" s="7" t="str">
        <f aca="false">B114</f>
        <v>Internamento Hospitalar Médico (incl. malária grave)</v>
      </c>
      <c r="C133" s="16" t="s">
        <v>132</v>
      </c>
      <c r="D133" s="40" t="n">
        <f aca="false">(D114*$E$69+E114*$F$69)/($E$69+$F$69)</f>
        <v>0.875396825396825</v>
      </c>
      <c r="E133" s="40" t="n">
        <f aca="false">(F114*$E$70+G114*$F$70)/($E$70+$F$70)</f>
        <v>1.07159090909091</v>
      </c>
      <c r="F133" s="40" t="n">
        <f aca="false">(H114*$E$71+I114*$F$71)/($E$71+$F$71)</f>
        <v>1.3725</v>
      </c>
      <c r="G133" s="40" t="n">
        <f aca="false">(J114*$E$72+K114*$F$72)/($E$72+$F$72)</f>
        <v>2.13333333333333</v>
      </c>
      <c r="H133" s="40" t="n">
        <f aca="false">(L114*$E$73+M114*$F$73)/($E$73+$F$73)</f>
        <v>3.45882352941177</v>
      </c>
    </row>
    <row r="134" customFormat="false" ht="15" hidden="false" customHeight="false" outlineLevel="0" collapsed="false">
      <c r="B134" s="9" t="str">
        <f aca="false">B115</f>
        <v>Cirurgia (com internamento e de ambulatório)</v>
      </c>
      <c r="C134" s="21" t="s">
        <v>139</v>
      </c>
      <c r="D134" s="41" t="n">
        <f aca="false">(D115*$E$69+E115*$F$69)/($E$69+$F$69)</f>
        <v>0.425396825396825</v>
      </c>
      <c r="E134" s="41" t="n">
        <f aca="false">(F115*$E$70+G115*$F$70)/($E$70+$F$70)</f>
        <v>1.09545454545455</v>
      </c>
      <c r="F134" s="41" t="n">
        <f aca="false">(H115*$E$71+I115*$F$71)/($E$71+$F$71)</f>
        <v>1.5725</v>
      </c>
      <c r="G134" s="41" t="n">
        <f aca="false">(J115*$E$72+K115*$F$72)/($E$72+$F$72)</f>
        <v>2.31111111111111</v>
      </c>
      <c r="H134" s="41" t="n">
        <f aca="false">(L115*$E$73+M115*$F$73)/($E$73+$F$73)</f>
        <v>3.05882352941176</v>
      </c>
    </row>
    <row r="135" customFormat="false" ht="15" hidden="false" customHeight="false" outlineLevel="0" collapsed="false">
      <c r="B135" s="7" t="str">
        <f aca="false">B116</f>
        <v>Cuidados Intensivos (UCI)</v>
      </c>
      <c r="C135" s="16" t="s">
        <v>143</v>
      </c>
      <c r="D135" s="40" t="n">
        <f aca="false">(D116*$E$69+E116*$F$69)/($E$69+$F$69)</f>
        <v>0.675396825396825</v>
      </c>
      <c r="E135" s="40" t="n">
        <f aca="false">(F116*$E$70+G116*$F$70)/($E$70+$F$70)</f>
        <v>0.952272727272727</v>
      </c>
      <c r="F135" s="40" t="n">
        <f aca="false">(H116*$E$71+I116*$F$71)/($E$71+$F$71)</f>
        <v>1.565</v>
      </c>
      <c r="G135" s="40" t="n">
        <f aca="false">(J116*$E$72+K116*$F$72)/($E$72+$F$72)</f>
        <v>2.77777777777778</v>
      </c>
      <c r="H135" s="40" t="n">
        <f aca="false">(L116*$E$73+M116*$F$73)/($E$73+$F$73)</f>
        <v>4.62352941176471</v>
      </c>
    </row>
    <row r="136" customFormat="false" ht="15" hidden="false" customHeight="false" outlineLevel="0" collapsed="false">
      <c r="B136" s="9" t="str">
        <f aca="false">B117</f>
        <v>Consultas de Clínica Geral e Especialidade (incl. teleconsulta)</v>
      </c>
      <c r="C136" s="21" t="s">
        <v>147</v>
      </c>
      <c r="D136" s="41" t="n">
        <f aca="false">(D117*$E$69+E117*$F$69)/($E$69+$F$69)</f>
        <v>1.12539682539683</v>
      </c>
      <c r="E136" s="41" t="n">
        <f aca="false">(F117*$E$70+G117*$F$70)/($E$70+$F$70)</f>
        <v>1.21477272727273</v>
      </c>
      <c r="F136" s="41" t="n">
        <f aca="false">(H117*$E$71+I117*$F$71)/($E$71+$F$71)</f>
        <v>1.4075</v>
      </c>
      <c r="G136" s="41" t="n">
        <f aca="false">(J117*$E$72+K117*$F$72)/($E$72+$F$72)</f>
        <v>1.73888888888889</v>
      </c>
      <c r="H136" s="41" t="n">
        <f aca="false">(L117*$E$73+M117*$F$73)/($E$73+$F$73)</f>
        <v>2.14705882352941</v>
      </c>
    </row>
    <row r="137" customFormat="false" ht="15" hidden="false" customHeight="false" outlineLevel="0" collapsed="false">
      <c r="B137" s="7" t="str">
        <f aca="false">B118</f>
        <v>MCDT — Exames, Análises e Imagiologia</v>
      </c>
      <c r="C137" s="16" t="s">
        <v>151</v>
      </c>
      <c r="D137" s="40" t="n">
        <f aca="false">(D118*$E$69+E118*$F$69)/($E$69+$F$69)</f>
        <v>0.7</v>
      </c>
      <c r="E137" s="40" t="n">
        <f aca="false">(F118*$E$70+G118*$F$70)/($E$70+$F$70)</f>
        <v>1.23863636363636</v>
      </c>
      <c r="F137" s="40" t="n">
        <f aca="false">(H118*$E$71+I118*$F$71)/($E$71+$F$71)</f>
        <v>1.5575</v>
      </c>
      <c r="G137" s="40" t="n">
        <f aca="false">(J118*$E$72+K118*$F$72)/($E$72+$F$72)</f>
        <v>2.14444444444444</v>
      </c>
      <c r="H137" s="40" t="n">
        <f aca="false">(L118*$E$73+M118*$F$73)/($E$73+$F$73)</f>
        <v>2.7</v>
      </c>
    </row>
    <row r="138" customFormat="false" ht="15" hidden="false" customHeight="false" outlineLevel="0" collapsed="false">
      <c r="B138" s="9" t="str">
        <f aca="false">B119</f>
        <v>Malária e Doenças Endémicas (ambulatório)</v>
      </c>
      <c r="C138" s="21" t="s">
        <v>155</v>
      </c>
      <c r="D138" s="41" t="n">
        <f aca="false">(D119*$E$69+E119*$F$69)/($E$69+$F$69)</f>
        <v>1.57539682539683</v>
      </c>
      <c r="E138" s="41" t="n">
        <f aca="false">(F119*$E$70+G119*$F$70)/($E$70+$F$70)</f>
        <v>1.02386363636364</v>
      </c>
      <c r="F138" s="41" t="n">
        <f aca="false">(H119*$E$71+I119*$F$71)/($E$71+$F$71)</f>
        <v>0.9725</v>
      </c>
      <c r="G138" s="41" t="n">
        <f aca="false">(J119*$E$72+K119*$F$72)/($E$72+$F$72)</f>
        <v>1.05</v>
      </c>
      <c r="H138" s="41" t="n">
        <f aca="false">(L119*$E$73+M119*$F$73)/($E$73+$F$73)</f>
        <v>1.2</v>
      </c>
    </row>
    <row r="139" customFormat="false" ht="15" hidden="false" customHeight="false" outlineLevel="0" collapsed="false">
      <c r="B139" s="7" t="str">
        <f aca="false">B120</f>
        <v>Maternidade e Parto (Normal e Cesariana)</v>
      </c>
      <c r="C139" s="16" t="s">
        <v>159</v>
      </c>
      <c r="D139" s="40" t="n">
        <f aca="false">(D120*$E$69+E120*$F$69)/($E$69+$F$69)</f>
        <v>0.0246031746031746</v>
      </c>
      <c r="E139" s="40" t="n">
        <f aca="false">(F120*$E$70+G120*$F$70)/($E$70+$F$70)</f>
        <v>0.477272727272727</v>
      </c>
      <c r="F139" s="40" t="n">
        <f aca="false">(H120*$E$71+I120*$F$71)/($E$71+$F$71)</f>
        <v>0.1575</v>
      </c>
      <c r="G139" s="40" t="n">
        <f aca="false">(J120*$E$72+K120*$F$72)/($E$72+$F$72)</f>
        <v>0</v>
      </c>
      <c r="H139" s="40" t="n">
        <f aca="false">(L120*$E$73+M120*$F$73)/($E$73+$F$73)</f>
        <v>0</v>
      </c>
    </row>
    <row r="140" customFormat="false" ht="15" hidden="false" customHeight="false" outlineLevel="0" collapsed="false">
      <c r="B140" s="9" t="str">
        <f aca="false">B121</f>
        <v>Urgência Hospitalar</v>
      </c>
      <c r="C140" s="21" t="s">
        <v>164</v>
      </c>
      <c r="D140" s="41" t="n">
        <f aca="false">(D121*$E$69+E121*$F$69)/($E$69+$F$69)</f>
        <v>1.37539682539683</v>
      </c>
      <c r="E140" s="41" t="n">
        <f aca="false">(F121*$E$70+G121*$F$70)/($E$70+$F$70)</f>
        <v>1.04772727272727</v>
      </c>
      <c r="F140" s="41" t="n">
        <f aca="false">(H121*$E$71+I121*$F$71)/($E$71+$F$71)</f>
        <v>1.0725</v>
      </c>
      <c r="G140" s="41" t="n">
        <f aca="false">(J121*$E$72+K121*$F$72)/($E$72+$F$72)</f>
        <v>1.3</v>
      </c>
      <c r="H140" s="41" t="n">
        <f aca="false">(L121*$E$73+M121*$F$73)/($E$73+$F$73)</f>
        <v>1.8</v>
      </c>
    </row>
    <row r="141" customFormat="false" ht="15" hidden="false" customHeight="false" outlineLevel="0" collapsed="false">
      <c r="B141" s="7" t="str">
        <f aca="false">B122</f>
        <v>Transporte em Ambulância / Emergência Médica</v>
      </c>
      <c r="C141" s="16" t="s">
        <v>167</v>
      </c>
      <c r="D141" s="40" t="n">
        <f aca="false">(D122*$E$69+E122*$F$69)/($E$69+$F$69)</f>
        <v>1</v>
      </c>
      <c r="E141" s="40" t="n">
        <f aca="false">(F122*$E$70+G122*$F$70)/($E$70+$F$70)</f>
        <v>1</v>
      </c>
      <c r="F141" s="40" t="n">
        <f aca="false">(H122*$E$71+I122*$F$71)/($E$71+$F$71)</f>
        <v>1.1</v>
      </c>
      <c r="G141" s="40" t="n">
        <f aca="false">(J122*$E$72+K122*$F$72)/($E$72+$F$72)</f>
        <v>1.6</v>
      </c>
      <c r="H141" s="40" t="n">
        <f aca="false">(L122*$E$73+M122*$F$73)/($E$73+$F$73)</f>
        <v>2.8</v>
      </c>
    </row>
    <row r="142" customFormat="false" ht="15" hidden="false" customHeight="false" outlineLevel="0" collapsed="false">
      <c r="B142" s="9" t="str">
        <f aca="false">B123</f>
        <v>Medicamentos em Ambulatório (Farmácia)</v>
      </c>
      <c r="C142" s="21" t="s">
        <v>172</v>
      </c>
      <c r="D142" s="41" t="n">
        <f aca="false">(D123*$E$69+E123*$F$69)/($E$69+$F$69)</f>
        <v>0.65</v>
      </c>
      <c r="E142" s="41" t="n">
        <f aca="false">(F123*$E$70+G123*$F$70)/($E$70+$F$70)</f>
        <v>1.19090909090909</v>
      </c>
      <c r="F142" s="41" t="n">
        <f aca="false">(H123*$E$71+I123*$F$71)/($E$71+$F$71)</f>
        <v>1.69</v>
      </c>
      <c r="G142" s="41" t="n">
        <f aca="false">(J123*$E$72+K123*$F$72)/($E$72+$F$72)</f>
        <v>2.64444444444444</v>
      </c>
      <c r="H142" s="41" t="n">
        <f aca="false">(L123*$E$73+M123*$F$73)/($E$73+$F$73)</f>
        <v>3.4</v>
      </c>
    </row>
    <row r="143" customFormat="false" ht="15" hidden="false" customHeight="false" outlineLevel="0" collapsed="false">
      <c r="B143" s="7" t="str">
        <f aca="false">B124</f>
        <v>Estomatologia (tratamentos)</v>
      </c>
      <c r="C143" s="16" t="s">
        <v>176</v>
      </c>
      <c r="D143" s="40" t="n">
        <f aca="false">(D124*$E$69+E124*$F$69)/($E$69+$F$69)</f>
        <v>0.85</v>
      </c>
      <c r="E143" s="40" t="n">
        <f aca="false">(F124*$E$70+G124*$F$70)/($E$70+$F$70)</f>
        <v>1.07159090909091</v>
      </c>
      <c r="F143" s="40" t="n">
        <f aca="false">(H124*$E$71+I124*$F$71)/($E$71+$F$71)</f>
        <v>1.145</v>
      </c>
      <c r="G143" s="40" t="n">
        <f aca="false">(J124*$E$72+K124*$F$72)/($E$72+$F$72)</f>
        <v>1.07222222222222</v>
      </c>
      <c r="H143" s="40" t="n">
        <f aca="false">(L124*$E$73+M124*$F$73)/($E$73+$F$73)</f>
        <v>0.8</v>
      </c>
    </row>
    <row r="144" customFormat="false" ht="15" hidden="false" customHeight="false" outlineLevel="0" collapsed="false">
      <c r="B144" s="9" t="str">
        <f aca="false">B125</f>
        <v>Próteses Dentárias</v>
      </c>
      <c r="C144" s="21" t="s">
        <v>180</v>
      </c>
      <c r="D144" s="41" t="n">
        <f aca="false">(D125*$E$69+E125*$F$69)/($E$69+$F$69)</f>
        <v>0.1</v>
      </c>
      <c r="E144" s="41" t="n">
        <f aca="false">(F125*$E$70+G125*$F$70)/($E$70+$F$70)</f>
        <v>1</v>
      </c>
      <c r="F144" s="41" t="n">
        <f aca="false">(H125*$E$71+I125*$F$71)/($E$71+$F$71)</f>
        <v>2.2</v>
      </c>
      <c r="G144" s="41" t="n">
        <f aca="false">(J125*$E$72+K125*$F$72)/($E$72+$F$72)</f>
        <v>3.5</v>
      </c>
      <c r="H144" s="41" t="n">
        <f aca="false">(L125*$E$73+M125*$F$73)/($E$73+$F$73)</f>
        <v>4</v>
      </c>
    </row>
    <row r="145" customFormat="false" ht="15" hidden="false" customHeight="false" outlineLevel="0" collapsed="false">
      <c r="B145" s="7" t="str">
        <f aca="false">B126</f>
        <v>Óptica — Lentes e Armações</v>
      </c>
      <c r="C145" s="16" t="s">
        <v>184</v>
      </c>
      <c r="D145" s="40" t="n">
        <f aca="false">(D126*$E$69+E126*$F$69)/($E$69+$F$69)</f>
        <v>0.474603174603175</v>
      </c>
      <c r="E145" s="40" t="n">
        <f aca="false">(F126*$E$70+G126*$F$70)/($E$70+$F$70)</f>
        <v>1.04772727272727</v>
      </c>
      <c r="F145" s="40" t="n">
        <f aca="false">(H126*$E$71+I126*$F$71)/($E$71+$F$71)</f>
        <v>1.745</v>
      </c>
      <c r="G145" s="40" t="n">
        <f aca="false">(J126*$E$72+K126*$F$72)/($E$72+$F$72)</f>
        <v>2.34444444444444</v>
      </c>
      <c r="H145" s="40" t="n">
        <f aca="false">(L126*$E$73+M126*$F$73)/($E$73+$F$73)</f>
        <v>2.44705882352941</v>
      </c>
    </row>
    <row r="146" customFormat="false" ht="15" hidden="false" customHeight="false" outlineLevel="0" collapsed="false">
      <c r="B146" s="9" t="str">
        <f aca="false">B127</f>
        <v>Medicina Preventiva e Check-up Anual</v>
      </c>
      <c r="C146" s="21" t="s">
        <v>188</v>
      </c>
      <c r="D146" s="41" t="n">
        <f aca="false">(D127*$E$69+E127*$F$69)/($E$69+$F$69)</f>
        <v>0.6</v>
      </c>
      <c r="E146" s="41" t="n">
        <f aca="false">(F127*$E$70+G127*$F$70)/($E$70+$F$70)</f>
        <v>1.04772727272727</v>
      </c>
      <c r="F146" s="41" t="n">
        <f aca="false">(H127*$E$71+I127*$F$71)/($E$71+$F$71)</f>
        <v>1.3225</v>
      </c>
      <c r="G146" s="41" t="n">
        <f aca="false">(J127*$E$72+K127*$F$72)/($E$72+$F$72)</f>
        <v>1.5</v>
      </c>
      <c r="H146" s="41" t="n">
        <f aca="false">(L127*$E$73+M127*$F$73)/($E$73+$F$73)</f>
        <v>1.6</v>
      </c>
    </row>
    <row r="147" customFormat="false" ht="15" hidden="false" customHeight="false" outlineLevel="0" collapsed="false">
      <c r="B147" s="7" t="str">
        <f aca="false">B128</f>
        <v>Evacuação Médica e Cobertura no Estrangeiro</v>
      </c>
      <c r="C147" s="16" t="s">
        <v>192</v>
      </c>
      <c r="D147" s="40" t="n">
        <f aca="false">(D128*$E$69+E128*$F$69)/($E$69+$F$69)</f>
        <v>0.6</v>
      </c>
      <c r="E147" s="40" t="n">
        <f aca="false">(F128*$E$70+G128*$F$70)/($E$70+$F$70)</f>
        <v>1.04772727272727</v>
      </c>
      <c r="F147" s="40" t="n">
        <f aca="false">(H128*$E$71+I128*$F$71)/($E$71+$F$71)</f>
        <v>1.6</v>
      </c>
      <c r="G147" s="40" t="n">
        <f aca="false">(J128*$E$72+K128*$F$72)/($E$72+$F$72)</f>
        <v>2.71111111111111</v>
      </c>
      <c r="H147" s="40" t="n">
        <f aca="false">(L128*$E$73+M128*$F$73)/($E$73+$F$73)</f>
        <v>3.90588235294118</v>
      </c>
    </row>
    <row r="148" customFormat="false" ht="15" hidden="false" customHeight="false" outlineLevel="0" collapsed="false">
      <c r="B148" s="9" t="str">
        <f aca="false">B129</f>
        <v>Doenças Graves — Oncologia</v>
      </c>
      <c r="C148" s="21" t="s">
        <v>196</v>
      </c>
      <c r="D148" s="41" t="n">
        <f aca="false">(D129*$E$69+E129*$F$69)/($E$69+$F$69)</f>
        <v>0.5</v>
      </c>
      <c r="E148" s="41" t="n">
        <f aca="false">(F129*$E$70+G129*$F$70)/($E$70+$F$70)</f>
        <v>1.28636363636364</v>
      </c>
      <c r="F148" s="41" t="n">
        <f aca="false">(H129*$E$71+I129*$F$71)/($E$71+$F$71)</f>
        <v>3.785</v>
      </c>
      <c r="G148" s="41" t="n">
        <f aca="false">(J129*$E$72+K129*$F$72)/($E$72+$F$72)</f>
        <v>8.55555555555556</v>
      </c>
      <c r="H148" s="41" t="n">
        <f aca="false">(L129*$E$73+M129*$F$73)/($E$73+$F$73)</f>
        <v>12.5882352941176</v>
      </c>
    </row>
    <row r="149" customFormat="false" ht="15" hidden="false" customHeight="false" outlineLevel="0" collapsed="false">
      <c r="B149" s="7" t="str">
        <f aca="false">B130</f>
        <v>Doenças Crónicas — Hemodiálise</v>
      </c>
      <c r="C149" s="16" t="s">
        <v>200</v>
      </c>
      <c r="D149" s="40" t="n">
        <f aca="false">(D130*$E$69+E130*$F$69)/($E$69+$F$69)</f>
        <v>0.2</v>
      </c>
      <c r="E149" s="40" t="n">
        <f aca="false">(F130*$E$70+G130*$F$70)/($E$70+$F$70)</f>
        <v>0.952272727272727</v>
      </c>
      <c r="F149" s="40" t="n">
        <f aca="false">(H130*$E$71+I130*$F$71)/($E$71+$F$71)</f>
        <v>2.365</v>
      </c>
      <c r="G149" s="40" t="n">
        <f aca="false">(J130*$E$72+K130*$F$72)/($E$72+$F$72)</f>
        <v>5.18888888888889</v>
      </c>
      <c r="H149" s="40" t="n">
        <f aca="false">(L130*$E$73+M130*$F$73)/($E$73+$F$73)</f>
        <v>7.02941176470588</v>
      </c>
    </row>
    <row r="152" customFormat="false" ht="15" hidden="false" customHeight="false" outlineLevel="0" collapsed="false">
      <c r="B152" s="4" t="s">
        <v>244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customFormat="false" ht="31.5" hidden="false" customHeight="true" outlineLevel="0" collapsed="false">
      <c r="B153" s="6" t="s">
        <v>245</v>
      </c>
      <c r="C153" s="6" t="s">
        <v>246</v>
      </c>
      <c r="D153" s="6" t="s">
        <v>247</v>
      </c>
      <c r="E153" s="6" t="s">
        <v>248</v>
      </c>
      <c r="F153" s="6" t="s">
        <v>249</v>
      </c>
    </row>
    <row r="154" customFormat="false" ht="15" hidden="false" customHeight="false" outlineLevel="0" collapsed="false">
      <c r="B154" s="7" t="s">
        <v>250</v>
      </c>
      <c r="C154" s="16" t="s">
        <v>251</v>
      </c>
      <c r="D154" s="33" t="n">
        <v>0.85</v>
      </c>
      <c r="E154" s="35" t="n">
        <v>75000</v>
      </c>
      <c r="F154" s="35" t="n">
        <v>2500000</v>
      </c>
    </row>
    <row r="155" customFormat="false" ht="15" hidden="false" customHeight="false" outlineLevel="0" collapsed="false">
      <c r="B155" s="7" t="s">
        <v>252</v>
      </c>
      <c r="C155" s="16" t="s">
        <v>253</v>
      </c>
      <c r="D155" s="33" t="n">
        <v>1</v>
      </c>
      <c r="E155" s="35" t="n">
        <v>120000</v>
      </c>
      <c r="F155" s="35" t="n">
        <v>6000000</v>
      </c>
    </row>
    <row r="156" customFormat="false" ht="15" hidden="false" customHeight="false" outlineLevel="0" collapsed="false">
      <c r="B156" s="7" t="s">
        <v>254</v>
      </c>
      <c r="C156" s="16" t="s">
        <v>255</v>
      </c>
      <c r="D156" s="33" t="n">
        <v>1.3</v>
      </c>
      <c r="E156" s="35" t="n">
        <v>200000</v>
      </c>
      <c r="F156" s="35" t="n">
        <v>15000000</v>
      </c>
    </row>
    <row r="157" customFormat="false" ht="15" hidden="false" customHeight="false" outlineLevel="0" collapsed="false">
      <c r="B157" s="7" t="s">
        <v>256</v>
      </c>
      <c r="C157" s="16" t="s">
        <v>257</v>
      </c>
      <c r="D157" s="33" t="n">
        <v>0.9</v>
      </c>
      <c r="E157" s="35" t="n">
        <v>75000</v>
      </c>
      <c r="F157" s="35" t="n">
        <v>4000000</v>
      </c>
    </row>
    <row r="158" customFormat="false" ht="15" hidden="false" customHeight="false" outlineLevel="0" collapsed="false">
      <c r="B158" s="7" t="s">
        <v>258</v>
      </c>
      <c r="C158" s="16" t="s">
        <v>259</v>
      </c>
      <c r="D158" s="33" t="n">
        <v>1.05</v>
      </c>
      <c r="E158" s="35" t="n">
        <v>120000</v>
      </c>
      <c r="F158" s="35" t="n">
        <v>8000000</v>
      </c>
    </row>
    <row r="159" customFormat="false" ht="15" hidden="false" customHeight="false" outlineLevel="0" collapsed="false">
      <c r="B159" s="7" t="s">
        <v>260</v>
      </c>
      <c r="C159" s="16" t="s">
        <v>261</v>
      </c>
      <c r="D159" s="33" t="n">
        <v>1.35</v>
      </c>
      <c r="E159" s="35" t="n">
        <v>200000</v>
      </c>
      <c r="F159" s="35" t="n">
        <v>20000000</v>
      </c>
    </row>
    <row r="160" customFormat="false" ht="15" hidden="false" customHeight="false" outlineLevel="0" collapsed="false">
      <c r="B160" s="28" t="s">
        <v>262</v>
      </c>
    </row>
  </sheetData>
  <autoFilter ref="B78:O95"/>
  <mergeCells count="2">
    <mergeCell ref="A1:P1"/>
    <mergeCell ref="A2:P2"/>
  </mergeCells>
  <dataValidations count="1">
    <dataValidation allowBlank="true" error="Valor inválido" errorStyle="stop" operator="between" showDropDown="false" showErrorMessage="true" showInputMessage="false" sqref="C20" type="list">
      <formula1>Listas!$H$2:$H$11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28" min="6" style="0" width="14"/>
  </cols>
  <sheetData>
    <row r="1" customFormat="false" ht="25.5" hidden="false" customHeight="true" outlineLevel="0" collapsed="false">
      <c r="A1" s="1" t="s">
        <v>263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30" hidden="false" customHeight="true" outlineLevel="0" collapsed="false">
      <c r="A2" s="2" t="s">
        <v>264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5" hidden="false" customHeight="false" outlineLevel="0" collapsed="false">
      <c r="A3" s="42" t="s">
        <v>265</v>
      </c>
      <c r="B3" s="43" t="s">
        <v>266</v>
      </c>
      <c r="C3" s="8" t="n">
        <f aca="false">sig_SAU</f>
        <v>0.08</v>
      </c>
      <c r="D3" s="43" t="s">
        <v>267</v>
      </c>
      <c r="E3" s="8" t="n">
        <f aca="false">load_SAU</f>
        <v>0.3</v>
      </c>
      <c r="F3" s="43" t="s">
        <v>268</v>
      </c>
      <c r="G3" s="8" t="n">
        <f aca="false">tax_SAU</f>
        <v>0.01</v>
      </c>
      <c r="H3" s="43" t="s">
        <v>269</v>
      </c>
      <c r="I3" s="15" t="n">
        <f aca="false">f_trend</f>
        <v>1.182194</v>
      </c>
    </row>
    <row r="4" customFormat="false" ht="15" hidden="false" customHeight="false" outlineLevel="0" collapsed="false">
      <c r="A4" s="3" t="s">
        <v>270</v>
      </c>
    </row>
    <row r="5" customFormat="false" ht="48" hidden="false" customHeight="true" outlineLevel="0" collapsed="false">
      <c r="A5" s="6" t="s">
        <v>271</v>
      </c>
      <c r="B5" s="6" t="s">
        <v>272</v>
      </c>
      <c r="C5" s="6" t="s">
        <v>45</v>
      </c>
      <c r="D5" s="6" t="s">
        <v>118</v>
      </c>
      <c r="E5" s="6" t="s">
        <v>119</v>
      </c>
      <c r="F5" s="6" t="s">
        <v>273</v>
      </c>
      <c r="G5" s="6" t="s">
        <v>274</v>
      </c>
      <c r="H5" s="6" t="s">
        <v>275</v>
      </c>
      <c r="I5" s="6" t="s">
        <v>127</v>
      </c>
      <c r="J5" s="6" t="s">
        <v>276</v>
      </c>
      <c r="K5" s="6" t="s">
        <v>277</v>
      </c>
      <c r="L5" s="6" t="s">
        <v>278</v>
      </c>
      <c r="M5" s="6" t="s">
        <v>279</v>
      </c>
      <c r="N5" s="6" t="s">
        <v>280</v>
      </c>
      <c r="O5" s="6" t="s">
        <v>281</v>
      </c>
      <c r="P5" s="6" t="s">
        <v>282</v>
      </c>
      <c r="Q5" s="6" t="s">
        <v>283</v>
      </c>
      <c r="R5" s="6" t="s">
        <v>284</v>
      </c>
      <c r="S5" s="6" t="s">
        <v>285</v>
      </c>
      <c r="T5" s="6" t="s">
        <v>286</v>
      </c>
      <c r="U5" s="6" t="s">
        <v>287</v>
      </c>
      <c r="V5" s="6" t="s">
        <v>288</v>
      </c>
      <c r="W5" s="6" t="s">
        <v>289</v>
      </c>
      <c r="X5" s="6" t="s">
        <v>290</v>
      </c>
      <c r="Y5" s="6" t="s">
        <v>291</v>
      </c>
      <c r="Z5" s="6" t="s">
        <v>292</v>
      </c>
      <c r="AA5" s="6" t="s">
        <v>293</v>
      </c>
      <c r="AB5" s="6" t="s">
        <v>294</v>
      </c>
    </row>
    <row r="6" customFormat="false" ht="15" hidden="false" customHeight="false" outlineLevel="0" collapsed="false">
      <c r="A6" s="32" t="str">
        <f aca="false">B6&amp;"|"&amp;C6</f>
        <v>Base|HOSP_INT</v>
      </c>
      <c r="B6" s="16" t="s">
        <v>295</v>
      </c>
      <c r="C6" s="7" t="s">
        <v>132</v>
      </c>
      <c r="D6" s="32" t="str">
        <f aca="false">INDEX(Cov_Nome,MATCH(C6,Cov_Cod,0))</f>
        <v>Internamento Hospitalar Médico (incl. malária grave)</v>
      </c>
      <c r="E6" s="32" t="str">
        <f aca="false">INDEX(Cov_Grupo,MATCH(C6,Cov_Cod,0))</f>
        <v>Principal</v>
      </c>
      <c r="F6" s="37" t="s">
        <v>296</v>
      </c>
      <c r="G6" s="35" t="n">
        <v>5000000</v>
      </c>
      <c r="H6" s="40" t="n">
        <f aca="false">INDEX(Cov_Lambda,MATCH(C6,Cov_Cod,0))</f>
        <v>0.045</v>
      </c>
      <c r="I6" s="18" t="n">
        <f aca="false">INDEX(Cov_Mu,MATCH(C6,Cov_Cod,0))</f>
        <v>854500</v>
      </c>
      <c r="J6" s="40" t="n">
        <f aca="false">IF(INDEX(Cov_FR,MATCH(C6,Cov_Cod,0))="S",INDEX(PF_Factor,MATCH("SAU|"&amp;B6,PF_Key,0)),1)</f>
        <v>0.85</v>
      </c>
      <c r="K6" s="18" t="n">
        <f aca="false">IF(C6="HOSP_INT",los_int,IF(C6="HOSP_CIR",los_cir,0))*MAX(0,room_ref*J6-INDEX(PF_Room,MATCH("SAU|"&amp;B6,PF_Key,0)))</f>
        <v>74000</v>
      </c>
      <c r="L6" s="18" t="n">
        <f aca="false">MAX(0,I6*J6-K6)</f>
        <v>652325</v>
      </c>
      <c r="M6" s="40" t="n">
        <f aca="false">f_trend</f>
        <v>1.182194</v>
      </c>
      <c r="N6" s="18" t="n">
        <f aca="false">H6*L6*M6/(1-EXP(-H6))</f>
        <v>788656.263162559</v>
      </c>
      <c r="O6" s="44" t="n">
        <f aca="false">INDEX(Cov_CV,MATCH(C6,Cov_Cod,0))</f>
        <v>1.5</v>
      </c>
      <c r="P6" s="40" t="n">
        <f aca="false">SQRT(LN(1+O6^2))</f>
        <v>1.08565878449062</v>
      </c>
      <c r="Q6" s="40" t="n">
        <f aca="false">LN(N6)-P6^2/2</f>
        <v>12.9887583453383</v>
      </c>
      <c r="R6" s="40" t="n">
        <f aca="false">IF(G6&lt;=0,1,NORMSDIST((LN(G6)-Q6-P6^2)/P6)+G6/N6*(1-NORMSDIST((LN(G6)-Q6)/P6)))</f>
        <v>0.9553550325046</v>
      </c>
      <c r="S6" s="14" t="n">
        <f aca="false">IF(F6="—",0,H6*L6*M6*R6)</f>
        <v>33153.5534214757</v>
      </c>
      <c r="T6" s="18" t="n">
        <f aca="false">S6*sig_SAU</f>
        <v>2652.28427371805</v>
      </c>
      <c r="U6" s="14" t="n">
        <f aca="false">S6+T6</f>
        <v>35805.8376951937</v>
      </c>
      <c r="V6" s="14" t="n">
        <f aca="false">U6/(1-load_SAU)</f>
        <v>51151.1967074196</v>
      </c>
      <c r="W6" s="18" t="n">
        <f aca="false">V6*ea_SAU</f>
        <v>6649.65557196455</v>
      </c>
      <c r="X6" s="18" t="n">
        <f aca="false">V6*ec_SAU</f>
        <v>6138.14360489035</v>
      </c>
      <c r="Y6" s="18" t="n">
        <f aca="false">V6*m_SAU</f>
        <v>2557.55983537098</v>
      </c>
      <c r="Z6" s="18" t="n">
        <f aca="false">V6*tax_SAU</f>
        <v>511.511967074196</v>
      </c>
      <c r="AA6" s="19" t="n">
        <f aca="false">V6+Z6</f>
        <v>51662.7086744938</v>
      </c>
      <c r="AB6" s="40" t="n">
        <f aca="false">IF(G6&gt;0,S6/G6*1000,"n.a.")</f>
        <v>6.63071068429513</v>
      </c>
    </row>
    <row r="7" customFormat="false" ht="15" hidden="false" customHeight="false" outlineLevel="0" collapsed="false">
      <c r="A7" s="32" t="str">
        <f aca="false">B7&amp;"|"&amp;C7</f>
        <v>Base|HOSP_CIR</v>
      </c>
      <c r="B7" s="16" t="s">
        <v>295</v>
      </c>
      <c r="C7" s="7" t="s">
        <v>139</v>
      </c>
      <c r="D7" s="32" t="str">
        <f aca="false">INDEX(Cov_Nome,MATCH(C7,Cov_Cod,0))</f>
        <v>Cirurgia (com internamento e de ambulatório)</v>
      </c>
      <c r="E7" s="32" t="str">
        <f aca="false">INDEX(Cov_Grupo,MATCH(C7,Cov_Cod,0))</f>
        <v>Principal</v>
      </c>
      <c r="F7" s="37" t="s">
        <v>296</v>
      </c>
      <c r="G7" s="35" t="n">
        <v>5000000</v>
      </c>
      <c r="H7" s="40" t="n">
        <f aca="false">INDEX(Cov_Lambda,MATCH(C7,Cov_Cod,0))</f>
        <v>0.024</v>
      </c>
      <c r="I7" s="18" t="n">
        <f aca="false">INDEX(Cov_Mu,MATCH(C7,Cov_Cod,0))</f>
        <v>2032500</v>
      </c>
      <c r="J7" s="40" t="n">
        <f aca="false">IF(INDEX(Cov_FR,MATCH(C7,Cov_Cod,0))="S",INDEX(PF_Factor,MATCH("SAU|"&amp;B7,PF_Key,0)),1)</f>
        <v>0.85</v>
      </c>
      <c r="K7" s="18" t="n">
        <f aca="false">IF(C7="HOSP_INT",los_int,IF(C7="HOSP_CIR",los_cir,0))*MAX(0,room_ref*J7-INDEX(PF_Room,MATCH("SAU|"&amp;B7,PF_Key,0)))</f>
        <v>46250</v>
      </c>
      <c r="L7" s="18" t="n">
        <f aca="false">MAX(0,I7*J7-K7)</f>
        <v>1681375</v>
      </c>
      <c r="M7" s="40" t="n">
        <f aca="false">f_trend</f>
        <v>1.182194</v>
      </c>
      <c r="N7" s="18" t="n">
        <f aca="false">H7*L7*M7/(1-EXP(-H7))</f>
        <v>2011659.38322404</v>
      </c>
      <c r="O7" s="44" t="n">
        <f aca="false">INDEX(Cov_CV,MATCH(C7,Cov_Cod,0))</f>
        <v>1.3</v>
      </c>
      <c r="P7" s="40" t="n">
        <f aca="false">SQRT(LN(1+O7^2))</f>
        <v>0.994756851503797</v>
      </c>
      <c r="Q7" s="40" t="n">
        <f aca="false">LN(N7)-P7^2/2</f>
        <v>14.0196999064311</v>
      </c>
      <c r="R7" s="40" t="n">
        <f aca="false">IF(G7&lt;=0,1,NORMSDIST((LN(G7)-Q7-P7^2)/P7)+G7/N7*(1-NORMSDIST((LN(G7)-Q7)/P7)))</f>
        <v>0.858042761262833</v>
      </c>
      <c r="S7" s="14" t="n">
        <f aca="false">IF(F7="—",0,H7*L7*M7*R7)</f>
        <v>40932.9938347844</v>
      </c>
      <c r="T7" s="18" t="n">
        <f aca="false">S7*sig_SAU</f>
        <v>3274.63950678275</v>
      </c>
      <c r="U7" s="14" t="n">
        <f aca="false">S7+T7</f>
        <v>44207.6333415672</v>
      </c>
      <c r="V7" s="14" t="n">
        <f aca="false">U7/(1-load_SAU)</f>
        <v>63153.7619165245</v>
      </c>
      <c r="W7" s="18" t="n">
        <f aca="false">V7*ea_SAU</f>
        <v>8209.98904914819</v>
      </c>
      <c r="X7" s="18" t="n">
        <f aca="false">V7*ec_SAU</f>
        <v>7578.45142998294</v>
      </c>
      <c r="Y7" s="18" t="n">
        <f aca="false">V7*m_SAU</f>
        <v>3157.68809582623</v>
      </c>
      <c r="Z7" s="18" t="n">
        <f aca="false">V7*tax_SAU</f>
        <v>631.537619165245</v>
      </c>
      <c r="AA7" s="19" t="n">
        <f aca="false">V7+Z7</f>
        <v>63785.2995356898</v>
      </c>
      <c r="AB7" s="40" t="n">
        <f aca="false">IF(G7&gt;0,S7/G7*1000,"n.a.")</f>
        <v>8.18659876695688</v>
      </c>
    </row>
    <row r="8" customFormat="false" ht="15" hidden="false" customHeight="false" outlineLevel="0" collapsed="false">
      <c r="A8" s="32" t="str">
        <f aca="false">B8&amp;"|"&amp;C8</f>
        <v>Base|HOSP_UCI</v>
      </c>
      <c r="B8" s="16" t="s">
        <v>295</v>
      </c>
      <c r="C8" s="7" t="s">
        <v>143</v>
      </c>
      <c r="D8" s="32" t="str">
        <f aca="false">INDEX(Cov_Nome,MATCH(C8,Cov_Cod,0))</f>
        <v>Cuidados Intensivos (UCI)</v>
      </c>
      <c r="E8" s="32" t="str">
        <f aca="false">INDEX(Cov_Grupo,MATCH(C8,Cov_Cod,0))</f>
        <v>Principal</v>
      </c>
      <c r="F8" s="37" t="s">
        <v>296</v>
      </c>
      <c r="G8" s="45" t="n">
        <f aca="false">INDEX(PF_UCI,MATCH("SAU|"&amp;B8,PF_Key,0))</f>
        <v>2500000</v>
      </c>
      <c r="H8" s="40" t="n">
        <f aca="false">INDEX(Cov_Lambda,MATCH(C8,Cov_Cod,0))</f>
        <v>0.0035</v>
      </c>
      <c r="I8" s="18" t="n">
        <f aca="false">INDEX(Cov_Mu,MATCH(C8,Cov_Cod,0))</f>
        <v>2835000</v>
      </c>
      <c r="J8" s="40" t="n">
        <f aca="false">IF(INDEX(Cov_FR,MATCH(C8,Cov_Cod,0))="S",INDEX(PF_Factor,MATCH("SAU|"&amp;B8,PF_Key,0)),1)</f>
        <v>0.85</v>
      </c>
      <c r="K8" s="18" t="n">
        <f aca="false">IF(C8="HOSP_INT",los_int,IF(C8="HOSP_CIR",los_cir,0))*MAX(0,room_ref*J8-INDEX(PF_Room,MATCH("SAU|"&amp;B8,PF_Key,0)))</f>
        <v>0</v>
      </c>
      <c r="L8" s="18" t="n">
        <f aca="false">MAX(0,I8*J8-K8)</f>
        <v>2409750</v>
      </c>
      <c r="M8" s="40" t="n">
        <f aca="false">f_trend</f>
        <v>1.182194</v>
      </c>
      <c r="N8" s="18" t="n">
        <f aca="false">H8*L8*M8/(1-EXP(-H8))</f>
        <v>2853780.28562634</v>
      </c>
      <c r="O8" s="44" t="n">
        <f aca="false">INDEX(Cov_CV,MATCH(C8,Cov_Cod,0))</f>
        <v>1.2</v>
      </c>
      <c r="P8" s="40" t="n">
        <f aca="false">SQRT(LN(1+O8^2))</f>
        <v>0.944456478248262</v>
      </c>
      <c r="Q8" s="40" t="n">
        <f aca="false">LN(N8)-P8^2/2</f>
        <v>14.4181560696889</v>
      </c>
      <c r="R8" s="40" t="n">
        <f aca="false">IF(G8&lt;=0,1,NORMSDIST((LN(G8)-Q8-P8^2)/P8)+G8/N8*(1-NORMSDIST((LN(G8)-Q8)/P8)))</f>
        <v>0.594200855005779</v>
      </c>
      <c r="S8" s="14" t="n">
        <f aca="false">IF(F8="—",0,H8*L8*M8*R8)</f>
        <v>5924.6412297902</v>
      </c>
      <c r="T8" s="18" t="n">
        <f aca="false">S8*sig_SAU</f>
        <v>473.971298383216</v>
      </c>
      <c r="U8" s="14" t="n">
        <f aca="false">S8+T8</f>
        <v>6398.61252817342</v>
      </c>
      <c r="V8" s="14" t="n">
        <f aca="false">U8/(1-load_SAU)</f>
        <v>9140.87504024774</v>
      </c>
      <c r="W8" s="18" t="n">
        <f aca="false">V8*ea_SAU</f>
        <v>1188.31375523221</v>
      </c>
      <c r="X8" s="18" t="n">
        <f aca="false">V8*ec_SAU</f>
        <v>1096.90500482973</v>
      </c>
      <c r="Y8" s="18" t="n">
        <f aca="false">V8*m_SAU</f>
        <v>457.043752012387</v>
      </c>
      <c r="Z8" s="18" t="n">
        <f aca="false">V8*tax_SAU</f>
        <v>91.4087504024774</v>
      </c>
      <c r="AA8" s="19" t="n">
        <f aca="false">V8+Z8</f>
        <v>9232.28379065022</v>
      </c>
      <c r="AB8" s="40" t="n">
        <f aca="false">IF(G8&gt;0,S8/G8*1000,"n.a.")</f>
        <v>2.36985649191608</v>
      </c>
    </row>
    <row r="9" customFormat="false" ht="15" hidden="false" customHeight="false" outlineLevel="0" collapsed="false">
      <c r="A9" s="32" t="str">
        <f aca="false">B9&amp;"|"&amp;C9</f>
        <v>Base|AMB_CONS</v>
      </c>
      <c r="B9" s="16" t="s">
        <v>295</v>
      </c>
      <c r="C9" s="7" t="s">
        <v>147</v>
      </c>
      <c r="D9" s="32" t="str">
        <f aca="false">INDEX(Cov_Nome,MATCH(C9,Cov_Cod,0))</f>
        <v>Consultas de Clínica Geral e Especialidade (incl. teleconsulta)</v>
      </c>
      <c r="E9" s="32" t="str">
        <f aca="false">INDEX(Cov_Grupo,MATCH(C9,Cov_Cod,0))</f>
        <v>Principal</v>
      </c>
      <c r="F9" s="37" t="s">
        <v>297</v>
      </c>
      <c r="G9" s="35" t="n">
        <v>1500000</v>
      </c>
      <c r="H9" s="40" t="n">
        <f aca="false">INDEX(Cov_Lambda,MATCH(C9,Cov_Cod,0))</f>
        <v>2.6</v>
      </c>
      <c r="I9" s="18" t="n">
        <f aca="false">INDEX(Cov_Mu,MATCH(C9,Cov_Cod,0))</f>
        <v>24000</v>
      </c>
      <c r="J9" s="40" t="n">
        <f aca="false">IF(INDEX(Cov_FR,MATCH(C9,Cov_Cod,0))="S",INDEX(PF_Factor,MATCH("SAU|"&amp;B9,PF_Key,0)),1)</f>
        <v>0.85</v>
      </c>
      <c r="K9" s="18" t="n">
        <f aca="false">IF(C9="HOSP_INT",los_int,IF(C9="HOSP_CIR",los_cir,0))*MAX(0,room_ref*J9-INDEX(PF_Room,MATCH("SAU|"&amp;B9,PF_Key,0)))</f>
        <v>0</v>
      </c>
      <c r="L9" s="18" t="n">
        <f aca="false">MAX(0,I9*J9-K9)</f>
        <v>20400</v>
      </c>
      <c r="M9" s="40" t="n">
        <f aca="false">f_trend</f>
        <v>1.182194</v>
      </c>
      <c r="N9" s="18" t="n">
        <f aca="false">H9*L9*M9/(1-EXP(-H9))</f>
        <v>67734.4497082074</v>
      </c>
      <c r="O9" s="44" t="n">
        <f aca="false">INDEX(Cov_CV,MATCH(C9,Cov_Cod,0))</f>
        <v>1</v>
      </c>
      <c r="P9" s="40" t="n">
        <f aca="false">SQRT(LN(1+O9^2))</f>
        <v>0.832554611157698</v>
      </c>
      <c r="Q9" s="40" t="n">
        <f aca="false">LN(N9)-P9^2/2</f>
        <v>10.7767765975151</v>
      </c>
      <c r="R9" s="40" t="n">
        <f aca="false">IF(G9&lt;=0,1,NORMSDIST((LN(G9)-Q9-P9^2)/P9)+G9/N9*(1-NORMSDIST((LN(G9)-Q9)/P9)))</f>
        <v>0.99991379759774</v>
      </c>
      <c r="S9" s="14" t="n">
        <f aca="false">IF(F9="—",0,H9*L9*M9*R9)</f>
        <v>62698.1645616564</v>
      </c>
      <c r="T9" s="18" t="n">
        <f aca="false">S9*sig_SAU</f>
        <v>5015.85316493251</v>
      </c>
      <c r="U9" s="14" t="n">
        <f aca="false">S9+T9</f>
        <v>67714.0177265889</v>
      </c>
      <c r="V9" s="14" t="n">
        <f aca="false">U9/(1-load_SAU)</f>
        <v>96734.3110379842</v>
      </c>
      <c r="W9" s="18" t="n">
        <f aca="false">V9*ea_SAU</f>
        <v>12575.4604349379</v>
      </c>
      <c r="X9" s="18" t="n">
        <f aca="false">V9*ec_SAU</f>
        <v>11608.1173245581</v>
      </c>
      <c r="Y9" s="18" t="n">
        <f aca="false">V9*m_SAU</f>
        <v>4836.71555189921</v>
      </c>
      <c r="Z9" s="18" t="n">
        <f aca="false">V9*tax_SAU</f>
        <v>967.343110379842</v>
      </c>
      <c r="AA9" s="19" t="n">
        <f aca="false">V9+Z9</f>
        <v>97701.654148364</v>
      </c>
      <c r="AB9" s="40" t="n">
        <f aca="false">IF(G9&gt;0,S9/G9*1000,"n.a.")</f>
        <v>41.7987763744376</v>
      </c>
    </row>
    <row r="10" customFormat="false" ht="15" hidden="false" customHeight="false" outlineLevel="0" collapsed="false">
      <c r="A10" s="32" t="str">
        <f aca="false">B10&amp;"|"&amp;C10</f>
        <v>Base|AMB_MCDT</v>
      </c>
      <c r="B10" s="16" t="s">
        <v>295</v>
      </c>
      <c r="C10" s="7" t="s">
        <v>151</v>
      </c>
      <c r="D10" s="32" t="str">
        <f aca="false">INDEX(Cov_Nome,MATCH(C10,Cov_Cod,0))</f>
        <v>MCDT — Exames, Análises e Imagiologia</v>
      </c>
      <c r="E10" s="32" t="str">
        <f aca="false">INDEX(Cov_Grupo,MATCH(C10,Cov_Cod,0))</f>
        <v>Principal</v>
      </c>
      <c r="F10" s="37" t="s">
        <v>297</v>
      </c>
      <c r="G10" s="35" t="n">
        <v>1500000</v>
      </c>
      <c r="H10" s="40" t="n">
        <f aca="false">INDEX(Cov_Lambda,MATCH(C10,Cov_Cod,0))</f>
        <v>3.8</v>
      </c>
      <c r="I10" s="18" t="n">
        <f aca="false">INDEX(Cov_Mu,MATCH(C10,Cov_Cod,0))</f>
        <v>14600</v>
      </c>
      <c r="J10" s="40" t="n">
        <f aca="false">IF(INDEX(Cov_FR,MATCH(C10,Cov_Cod,0))="S",INDEX(PF_Factor,MATCH("SAU|"&amp;B10,PF_Key,0)),1)</f>
        <v>0.85</v>
      </c>
      <c r="K10" s="18" t="n">
        <f aca="false">IF(C10="HOSP_INT",los_int,IF(C10="HOSP_CIR",los_cir,0))*MAX(0,room_ref*J10-INDEX(PF_Room,MATCH("SAU|"&amp;B10,PF_Key,0)))</f>
        <v>0</v>
      </c>
      <c r="L10" s="18" t="n">
        <f aca="false">MAX(0,I10*J10-K10)</f>
        <v>12410</v>
      </c>
      <c r="M10" s="40" t="n">
        <f aca="false">f_trend</f>
        <v>1.182194</v>
      </c>
      <c r="N10" s="18" t="n">
        <f aca="false">H10*L10*M10/(1-EXP(-H10))</f>
        <v>57025.6115990404</v>
      </c>
      <c r="O10" s="44" t="n">
        <f aca="false">INDEX(Cov_CV,MATCH(C10,Cov_Cod,0))</f>
        <v>1.5</v>
      </c>
      <c r="P10" s="40" t="n">
        <f aca="false">SQRT(LN(1+O10^2))</f>
        <v>1.08565878449062</v>
      </c>
      <c r="Q10" s="40" t="n">
        <f aca="false">LN(N10)-P10^2/2</f>
        <v>10.361928274028</v>
      </c>
      <c r="R10" s="40" t="n">
        <f aca="false">IF(G10&lt;=0,1,NORMSDIST((LN(G10)-Q10-P10^2)/P10)+G10/N10*(1-NORMSDIST((LN(G10)-Q10)/P10)))</f>
        <v>0.998203069606544</v>
      </c>
      <c r="S10" s="14" t="n">
        <f aca="false">IF(F10="—",0,H10*L10*M10*R10)</f>
        <v>55649.7259538985</v>
      </c>
      <c r="T10" s="18" t="n">
        <f aca="false">S10*sig_SAU</f>
        <v>4451.97807631188</v>
      </c>
      <c r="U10" s="14" t="n">
        <f aca="false">S10+T10</f>
        <v>60101.7040302104</v>
      </c>
      <c r="V10" s="14" t="n">
        <f aca="false">U10/(1-load_SAU)</f>
        <v>85859.5771860149</v>
      </c>
      <c r="W10" s="18" t="n">
        <f aca="false">V10*ea_SAU</f>
        <v>11161.7450341819</v>
      </c>
      <c r="X10" s="18" t="n">
        <f aca="false">V10*ec_SAU</f>
        <v>10303.1492623218</v>
      </c>
      <c r="Y10" s="18" t="n">
        <f aca="false">V10*m_SAU</f>
        <v>4292.97885930075</v>
      </c>
      <c r="Z10" s="18" t="n">
        <f aca="false">V10*tax_SAU</f>
        <v>858.595771860149</v>
      </c>
      <c r="AA10" s="19" t="n">
        <f aca="false">V10+Z10</f>
        <v>86718.1729578751</v>
      </c>
      <c r="AB10" s="40" t="n">
        <f aca="false">IF(G10&gt;0,S10/G10*1000,"n.a.")</f>
        <v>37.099817302599</v>
      </c>
    </row>
    <row r="11" customFormat="false" ht="15" hidden="false" customHeight="false" outlineLevel="0" collapsed="false">
      <c r="A11" s="32" t="str">
        <f aca="false">B11&amp;"|"&amp;C11</f>
        <v>Base|MAL</v>
      </c>
      <c r="B11" s="16" t="s">
        <v>295</v>
      </c>
      <c r="C11" s="7" t="s">
        <v>155</v>
      </c>
      <c r="D11" s="32" t="str">
        <f aca="false">INDEX(Cov_Nome,MATCH(C11,Cov_Cod,0))</f>
        <v>Malária e Doenças Endémicas (ambulatório)</v>
      </c>
      <c r="E11" s="32" t="str">
        <f aca="false">INDEX(Cov_Grupo,MATCH(C11,Cov_Cod,0))</f>
        <v>Principal</v>
      </c>
      <c r="F11" s="37" t="s">
        <v>297</v>
      </c>
      <c r="G11" s="35" t="n">
        <v>1500000</v>
      </c>
      <c r="H11" s="40" t="n">
        <f aca="false">INDEX(Cov_Lambda,MATCH(C11,Cov_Cod,0))</f>
        <v>0.3</v>
      </c>
      <c r="I11" s="18" t="n">
        <f aca="false">INDEX(Cov_Mu,MATCH(C11,Cov_Cod,0))</f>
        <v>36500</v>
      </c>
      <c r="J11" s="40" t="n">
        <f aca="false">IF(INDEX(Cov_FR,MATCH(C11,Cov_Cod,0))="S",INDEX(PF_Factor,MATCH("SAU|"&amp;B11,PF_Key,0)),1)</f>
        <v>0.85</v>
      </c>
      <c r="K11" s="18" t="n">
        <f aca="false">IF(C11="HOSP_INT",los_int,IF(C11="HOSP_CIR",los_cir,0))*MAX(0,room_ref*J11-INDEX(PF_Room,MATCH("SAU|"&amp;B11,PF_Key,0)))</f>
        <v>0</v>
      </c>
      <c r="L11" s="18" t="n">
        <f aca="false">MAX(0,I11*J11-K11)</f>
        <v>31025</v>
      </c>
      <c r="M11" s="40" t="n">
        <f aca="false">f_trend</f>
        <v>1.182194</v>
      </c>
      <c r="N11" s="18" t="n">
        <f aca="false">H11*L11*M11/(1-EXP(-H11))</f>
        <v>42453.8742034319</v>
      </c>
      <c r="O11" s="44" t="n">
        <f aca="false">INDEX(Cov_CV,MATCH(C11,Cov_Cod,0))</f>
        <v>0.8</v>
      </c>
      <c r="P11" s="40" t="n">
        <f aca="false">SQRT(LN(1+O11^2))</f>
        <v>0.703346459318668</v>
      </c>
      <c r="Q11" s="40" t="n">
        <f aca="false">LN(N11)-P11^2/2</f>
        <v>10.4088253317555</v>
      </c>
      <c r="R11" s="40" t="n">
        <f aca="false">IF(G11&lt;=0,1,NORMSDIST((LN(G11)-Q11-P11^2)/P11)+G11/N11*(1-NORMSDIST((LN(G11)-Q11)/P11)))</f>
        <v>0.999999854113159</v>
      </c>
      <c r="S11" s="14" t="n">
        <f aca="false">IF(F11="—",0,H11*L11*M11*R11)</f>
        <v>11003.2690497676</v>
      </c>
      <c r="T11" s="18" t="n">
        <f aca="false">S11*sig_SAU</f>
        <v>880.261523981408</v>
      </c>
      <c r="U11" s="14" t="n">
        <f aca="false">S11+T11</f>
        <v>11883.530573749</v>
      </c>
      <c r="V11" s="14" t="n">
        <f aca="false">U11/(1-load_SAU)</f>
        <v>16976.4722482129</v>
      </c>
      <c r="W11" s="18" t="n">
        <f aca="false">V11*ea_SAU</f>
        <v>2206.94139226767</v>
      </c>
      <c r="X11" s="18" t="n">
        <f aca="false">V11*ec_SAU</f>
        <v>2037.17666978554</v>
      </c>
      <c r="Y11" s="18" t="n">
        <f aca="false">V11*m_SAU</f>
        <v>848.823612410644</v>
      </c>
      <c r="Z11" s="18" t="n">
        <f aca="false">V11*tax_SAU</f>
        <v>169.764722482129</v>
      </c>
      <c r="AA11" s="19" t="n">
        <f aca="false">V11+Z11</f>
        <v>17146.236970695</v>
      </c>
      <c r="AB11" s="40" t="n">
        <f aca="false">IF(G11&gt;0,S11/G11*1000,"n.a.")</f>
        <v>7.33551269984507</v>
      </c>
    </row>
    <row r="12" customFormat="false" ht="15" hidden="false" customHeight="false" outlineLevel="0" collapsed="false">
      <c r="A12" s="32" t="str">
        <f aca="false">B12&amp;"|"&amp;C12</f>
        <v>Base|MAT</v>
      </c>
      <c r="B12" s="16" t="s">
        <v>295</v>
      </c>
      <c r="C12" s="7" t="s">
        <v>159</v>
      </c>
      <c r="D12" s="32" t="str">
        <f aca="false">INDEX(Cov_Nome,MATCH(C12,Cov_Cod,0))</f>
        <v>Maternidade e Parto (Normal e Cesariana)</v>
      </c>
      <c r="E12" s="32" t="str">
        <f aca="false">INDEX(Cov_Grupo,MATCH(C12,Cov_Cod,0))</f>
        <v>Principal</v>
      </c>
      <c r="F12" s="37" t="s">
        <v>298</v>
      </c>
      <c r="G12" s="35" t="n">
        <v>0</v>
      </c>
      <c r="H12" s="40" t="n">
        <f aca="false">INDEX(Cov_Lambda,MATCH(C12,Cov_Cod,0))</f>
        <v>0.075</v>
      </c>
      <c r="I12" s="18" t="n">
        <f aca="false">INDEX(Cov_Mu,MATCH(C12,Cov_Cod,0))</f>
        <v>885640</v>
      </c>
      <c r="J12" s="40" t="n">
        <f aca="false">IF(INDEX(Cov_FR,MATCH(C12,Cov_Cod,0))="S",INDEX(PF_Factor,MATCH("SAU|"&amp;B12,PF_Key,0)),1)</f>
        <v>0.85</v>
      </c>
      <c r="K12" s="18" t="n">
        <f aca="false">IF(C12="HOSP_INT",los_int,IF(C12="HOSP_CIR",los_cir,0))*MAX(0,room_ref*J12-INDEX(PF_Room,MATCH("SAU|"&amp;B12,PF_Key,0)))</f>
        <v>0</v>
      </c>
      <c r="L12" s="18" t="n">
        <f aca="false">MAX(0,I12*J12-K12)</f>
        <v>752794</v>
      </c>
      <c r="M12" s="40" t="n">
        <f aca="false">f_trend</f>
        <v>1.182194</v>
      </c>
      <c r="N12" s="18" t="n">
        <f aca="false">H12*L12*M12/(1-EXP(-H12))</f>
        <v>923738.744941349</v>
      </c>
      <c r="O12" s="44" t="n">
        <f aca="false">INDEX(Cov_CV,MATCH(C12,Cov_Cod,0))</f>
        <v>0.5</v>
      </c>
      <c r="P12" s="40" t="n">
        <f aca="false">SQRT(LN(1+O12^2))</f>
        <v>0.472380727077439</v>
      </c>
      <c r="Q12" s="40" t="n">
        <f aca="false">LN(N12)-P12^2/2</f>
        <v>13.6246127914172</v>
      </c>
      <c r="R12" s="40" t="n">
        <f aca="false">IF(G12&lt;=0,1,NORMSDIST((LN(G12)-Q12-P12^2)/P12)+G12/N12*(1-NORMSDIST((LN(G12)-Q12)/P12)))</f>
        <v>1</v>
      </c>
      <c r="S12" s="14" t="n">
        <f aca="false">IF(F12="—",0,H12*L12*M12*R12)</f>
        <v>0</v>
      </c>
      <c r="T12" s="18" t="n">
        <f aca="false">S12*sig_SAU</f>
        <v>0</v>
      </c>
      <c r="U12" s="14" t="n">
        <f aca="false">S12+T12</f>
        <v>0</v>
      </c>
      <c r="V12" s="14" t="n">
        <f aca="false">U12/(1-load_SAU)</f>
        <v>0</v>
      </c>
      <c r="W12" s="18" t="n">
        <f aca="false">V12*ea_SAU</f>
        <v>0</v>
      </c>
      <c r="X12" s="18" t="n">
        <f aca="false">V12*ec_SAU</f>
        <v>0</v>
      </c>
      <c r="Y12" s="18" t="n">
        <f aca="false">V12*m_SAU</f>
        <v>0</v>
      </c>
      <c r="Z12" s="18" t="n">
        <f aca="false">V12*tax_SAU</f>
        <v>0</v>
      </c>
      <c r="AA12" s="19" t="n">
        <f aca="false">V12+Z12</f>
        <v>0</v>
      </c>
      <c r="AB12" s="40" t="str">
        <f aca="false">IF(G12&gt;0,S12/G12*1000,"n.a.")</f>
        <v>n.a.</v>
      </c>
    </row>
    <row r="13" customFormat="false" ht="15" hidden="false" customHeight="false" outlineLevel="0" collapsed="false">
      <c r="A13" s="32" t="str">
        <f aca="false">B13&amp;"|"&amp;C13</f>
        <v>Base|URG</v>
      </c>
      <c r="B13" s="16" t="s">
        <v>295</v>
      </c>
      <c r="C13" s="7" t="s">
        <v>164</v>
      </c>
      <c r="D13" s="32" t="str">
        <f aca="false">INDEX(Cov_Nome,MATCH(C13,Cov_Cod,0))</f>
        <v>Urgência Hospitalar</v>
      </c>
      <c r="E13" s="32" t="str">
        <f aca="false">INDEX(Cov_Grupo,MATCH(C13,Cov_Cod,0))</f>
        <v>Principal</v>
      </c>
      <c r="F13" s="37" t="s">
        <v>296</v>
      </c>
      <c r="G13" s="35" t="n">
        <v>250000</v>
      </c>
      <c r="H13" s="40" t="n">
        <f aca="false">INDEX(Cov_Lambda,MATCH(C13,Cov_Cod,0))</f>
        <v>0.42</v>
      </c>
      <c r="I13" s="18" t="n">
        <f aca="false">INDEX(Cov_Mu,MATCH(C13,Cov_Cod,0))</f>
        <v>43300</v>
      </c>
      <c r="J13" s="40" t="n">
        <f aca="false">IF(INDEX(Cov_FR,MATCH(C13,Cov_Cod,0))="S",INDEX(PF_Factor,MATCH("SAU|"&amp;B13,PF_Key,0)),1)</f>
        <v>0.85</v>
      </c>
      <c r="K13" s="18" t="n">
        <f aca="false">IF(C13="HOSP_INT",los_int,IF(C13="HOSP_CIR",los_cir,0))*MAX(0,room_ref*J13-INDEX(PF_Room,MATCH("SAU|"&amp;B13,PF_Key,0)))</f>
        <v>0</v>
      </c>
      <c r="L13" s="18" t="n">
        <f aca="false">MAX(0,I13*J13-K13)</f>
        <v>36805</v>
      </c>
      <c r="M13" s="40" t="n">
        <f aca="false">f_trend</f>
        <v>1.182194</v>
      </c>
      <c r="N13" s="18" t="n">
        <f aca="false">H13*L13*M13/(1-EXP(-H13))</f>
        <v>53285.6206831066</v>
      </c>
      <c r="O13" s="44" t="n">
        <f aca="false">INDEX(Cov_CV,MATCH(C13,Cov_Cod,0))</f>
        <v>1</v>
      </c>
      <c r="P13" s="40" t="n">
        <f aca="false">SQRT(LN(1+O13^2))</f>
        <v>0.832554611157698</v>
      </c>
      <c r="Q13" s="40" t="n">
        <f aca="false">LN(N13)-P13^2/2</f>
        <v>10.5368482026718</v>
      </c>
      <c r="R13" s="40" t="n">
        <f aca="false">IF(G13&lt;=0,1,NORMSDIST((LN(G13)-Q13-P13^2)/P13)+G13/N13*(1-NORMSDIST((LN(G13)-Q13)/P13)))</f>
        <v>0.979145217429385</v>
      </c>
      <c r="S13" s="14" t="n">
        <f aca="false">IF(F13="—",0,H13*L13*M13*R13)</f>
        <v>17893.3629089034</v>
      </c>
      <c r="T13" s="18" t="n">
        <f aca="false">S13*sig_SAU</f>
        <v>1431.46903271227</v>
      </c>
      <c r="U13" s="14" t="n">
        <f aca="false">S13+T13</f>
        <v>19324.8319416157</v>
      </c>
      <c r="V13" s="14" t="n">
        <f aca="false">U13/(1-load_SAU)</f>
        <v>27606.9027737367</v>
      </c>
      <c r="W13" s="18" t="n">
        <f aca="false">V13*ea_SAU</f>
        <v>3588.89736058576</v>
      </c>
      <c r="X13" s="18" t="n">
        <f aca="false">V13*ec_SAU</f>
        <v>3312.8283328484</v>
      </c>
      <c r="Y13" s="18" t="n">
        <f aca="false">V13*m_SAU</f>
        <v>1380.34513868683</v>
      </c>
      <c r="Z13" s="18" t="n">
        <f aca="false">V13*tax_SAU</f>
        <v>276.069027737366</v>
      </c>
      <c r="AA13" s="19" t="n">
        <f aca="false">V13+Z13</f>
        <v>27882.971801474</v>
      </c>
      <c r="AB13" s="40" t="n">
        <f aca="false">IF(G13&gt;0,S13/G13*1000,"n.a.")</f>
        <v>71.5734516356135</v>
      </c>
    </row>
    <row r="14" customFormat="false" ht="15" hidden="false" customHeight="false" outlineLevel="0" collapsed="false">
      <c r="A14" s="32" t="str">
        <f aca="false">B14&amp;"|"&amp;C14</f>
        <v>Base|AMBUL</v>
      </c>
      <c r="B14" s="16" t="s">
        <v>295</v>
      </c>
      <c r="C14" s="7" t="s">
        <v>167</v>
      </c>
      <c r="D14" s="32" t="str">
        <f aca="false">INDEX(Cov_Nome,MATCH(C14,Cov_Cod,0))</f>
        <v>Transporte em Ambulância / Emergência Médica</v>
      </c>
      <c r="E14" s="32" t="str">
        <f aca="false">INDEX(Cov_Grupo,MATCH(C14,Cov_Cod,0))</f>
        <v>Principal</v>
      </c>
      <c r="F14" s="37" t="s">
        <v>296</v>
      </c>
      <c r="G14" s="35" t="n">
        <v>150000</v>
      </c>
      <c r="H14" s="40" t="n">
        <f aca="false">INDEX(Cov_Lambda,MATCH(C14,Cov_Cod,0))</f>
        <v>0.018</v>
      </c>
      <c r="I14" s="18" t="n">
        <f aca="false">INDEX(Cov_Mu,MATCH(C14,Cov_Cod,0))</f>
        <v>76000</v>
      </c>
      <c r="J14" s="40" t="n">
        <f aca="false">IF(INDEX(Cov_FR,MATCH(C14,Cov_Cod,0))="S",INDEX(PF_Factor,MATCH("SAU|"&amp;B14,PF_Key,0)),1)</f>
        <v>1</v>
      </c>
      <c r="K14" s="18" t="n">
        <f aca="false">IF(C14="HOSP_INT",los_int,IF(C14="HOSP_CIR",los_cir,0))*MAX(0,room_ref*J14-INDEX(PF_Room,MATCH("SAU|"&amp;B14,PF_Key,0)))</f>
        <v>0</v>
      </c>
      <c r="L14" s="18" t="n">
        <f aca="false">MAX(0,I14*J14-K14)</f>
        <v>76000</v>
      </c>
      <c r="M14" s="40" t="n">
        <f aca="false">f_trend</f>
        <v>1.182194</v>
      </c>
      <c r="N14" s="18" t="n">
        <f aca="false">H14*L14*M14/(1-EXP(-H14))</f>
        <v>90657.7905449887</v>
      </c>
      <c r="O14" s="44" t="n">
        <f aca="false">INDEX(Cov_CV,MATCH(C14,Cov_Cod,0))</f>
        <v>0.6</v>
      </c>
      <c r="P14" s="40" t="n">
        <f aca="false">SQRT(LN(1+O14^2))</f>
        <v>0.554513029376191</v>
      </c>
      <c r="Q14" s="40" t="n">
        <f aca="false">LN(N14)-P14^2/2</f>
        <v>11.2611048035428</v>
      </c>
      <c r="R14" s="40" t="n">
        <f aca="false">IF(G14&lt;=0,1,NORMSDIST((LN(G14)-Q14-P14^2)/P14)+G14/N14*(1-NORMSDIST((LN(G14)-Q14)/P14)))</f>
        <v>0.931066112677914</v>
      </c>
      <c r="S14" s="14" t="n">
        <f aca="false">IF(F14="—",0,H14*L14*M14*R14)</f>
        <v>1505.75865611126</v>
      </c>
      <c r="T14" s="18" t="n">
        <f aca="false">S14*sig_SAU</f>
        <v>120.460692488901</v>
      </c>
      <c r="U14" s="14" t="n">
        <f aca="false">S14+T14</f>
        <v>1626.21934860016</v>
      </c>
      <c r="V14" s="14" t="n">
        <f aca="false">U14/(1-load_SAU)</f>
        <v>2323.17049800023</v>
      </c>
      <c r="W14" s="18" t="n">
        <f aca="false">V14*ea_SAU</f>
        <v>302.01216474003</v>
      </c>
      <c r="X14" s="18" t="n">
        <f aca="false">V14*ec_SAU</f>
        <v>278.780459760027</v>
      </c>
      <c r="Y14" s="18" t="n">
        <f aca="false">V14*m_SAU</f>
        <v>116.158524900011</v>
      </c>
      <c r="Z14" s="18" t="n">
        <f aca="false">V14*tax_SAU</f>
        <v>23.2317049800023</v>
      </c>
      <c r="AA14" s="19" t="n">
        <f aca="false">V14+Z14</f>
        <v>2346.40220298023</v>
      </c>
      <c r="AB14" s="40" t="n">
        <f aca="false">IF(G14&gt;0,S14/G14*1000,"n.a.")</f>
        <v>10.0383910407417</v>
      </c>
    </row>
    <row r="15" customFormat="false" ht="15" hidden="false" customHeight="false" outlineLevel="0" collapsed="false">
      <c r="A15" s="32" t="str">
        <f aca="false">B15&amp;"|"&amp;C15</f>
        <v>Base|MED</v>
      </c>
      <c r="B15" s="16" t="s">
        <v>295</v>
      </c>
      <c r="C15" s="7" t="s">
        <v>172</v>
      </c>
      <c r="D15" s="32" t="str">
        <f aca="false">INDEX(Cov_Nome,MATCH(C15,Cov_Cod,0))</f>
        <v>Medicamentos em Ambulatório (Farmácia)</v>
      </c>
      <c r="E15" s="32" t="str">
        <f aca="false">INDEX(Cov_Grupo,MATCH(C15,Cov_Cod,0))</f>
        <v>Principal</v>
      </c>
      <c r="F15" s="37" t="s">
        <v>298</v>
      </c>
      <c r="G15" s="35" t="n">
        <v>0</v>
      </c>
      <c r="H15" s="40" t="n">
        <f aca="false">INDEX(Cov_Lambda,MATCH(C15,Cov_Cod,0))</f>
        <v>3.4</v>
      </c>
      <c r="I15" s="18" t="n">
        <f aca="false">INDEX(Cov_Mu,MATCH(C15,Cov_Cod,0))</f>
        <v>17400</v>
      </c>
      <c r="J15" s="40" t="n">
        <f aca="false">IF(INDEX(Cov_FR,MATCH(C15,Cov_Cod,0))="S",INDEX(PF_Factor,MATCH("SAU|"&amp;B15,PF_Key,0)),1)</f>
        <v>1</v>
      </c>
      <c r="K15" s="18" t="n">
        <f aca="false">IF(C15="HOSP_INT",los_int,IF(C15="HOSP_CIR",los_cir,0))*MAX(0,room_ref*J15-INDEX(PF_Room,MATCH("SAU|"&amp;B15,PF_Key,0)))</f>
        <v>0</v>
      </c>
      <c r="L15" s="18" t="n">
        <f aca="false">MAX(0,I15*J15-K15)</f>
        <v>17400</v>
      </c>
      <c r="M15" s="40" t="n">
        <f aca="false">f_trend</f>
        <v>1.182194</v>
      </c>
      <c r="N15" s="18" t="n">
        <f aca="false">H15*L15*M15/(1-EXP(-H15))</f>
        <v>72353.2619847265</v>
      </c>
      <c r="O15" s="44" t="n">
        <f aca="false">INDEX(Cov_CV,MATCH(C15,Cov_Cod,0))</f>
        <v>1.2</v>
      </c>
      <c r="P15" s="40" t="n">
        <f aca="false">SQRT(LN(1+O15^2))</f>
        <v>0.944456478248262</v>
      </c>
      <c r="Q15" s="40" t="n">
        <f aca="false">LN(N15)-P15^2/2</f>
        <v>10.7433167975652</v>
      </c>
      <c r="R15" s="40" t="n">
        <f aca="false">IF(G15&lt;=0,1,NORMSDIST((LN(G15)-Q15-P15^2)/P15)+G15/N15*(1-NORMSDIST((LN(G15)-Q15)/P15)))</f>
        <v>1</v>
      </c>
      <c r="S15" s="14" t="n">
        <f aca="false">IF(F15="—",0,H15*L15*M15*R15)</f>
        <v>0</v>
      </c>
      <c r="T15" s="18" t="n">
        <f aca="false">S15*sig_SAU</f>
        <v>0</v>
      </c>
      <c r="U15" s="14" t="n">
        <f aca="false">S15+T15</f>
        <v>0</v>
      </c>
      <c r="V15" s="14" t="n">
        <f aca="false">U15/(1-load_SAU)</f>
        <v>0</v>
      </c>
      <c r="W15" s="18" t="n">
        <f aca="false">V15*ea_SAU</f>
        <v>0</v>
      </c>
      <c r="X15" s="18" t="n">
        <f aca="false">V15*ec_SAU</f>
        <v>0</v>
      </c>
      <c r="Y15" s="18" t="n">
        <f aca="false">V15*m_SAU</f>
        <v>0</v>
      </c>
      <c r="Z15" s="18" t="n">
        <f aca="false">V15*tax_SAU</f>
        <v>0</v>
      </c>
      <c r="AA15" s="19" t="n">
        <f aca="false">V15+Z15</f>
        <v>0</v>
      </c>
      <c r="AB15" s="40" t="str">
        <f aca="false">IF(G15&gt;0,S15/G15*1000,"n.a.")</f>
        <v>n.a.</v>
      </c>
    </row>
    <row r="16" customFormat="false" ht="15" hidden="false" customHeight="false" outlineLevel="0" collapsed="false">
      <c r="A16" s="32" t="str">
        <f aca="false">B16&amp;"|"&amp;C16</f>
        <v>Base|DENT</v>
      </c>
      <c r="B16" s="16" t="s">
        <v>295</v>
      </c>
      <c r="C16" s="7" t="s">
        <v>176</v>
      </c>
      <c r="D16" s="32" t="str">
        <f aca="false">INDEX(Cov_Nome,MATCH(C16,Cov_Cod,0))</f>
        <v>Estomatologia (tratamentos)</v>
      </c>
      <c r="E16" s="32" t="str">
        <f aca="false">INDEX(Cov_Grupo,MATCH(C16,Cov_Cod,0))</f>
        <v>Extensão</v>
      </c>
      <c r="F16" s="37" t="s">
        <v>298</v>
      </c>
      <c r="G16" s="35" t="n">
        <v>0</v>
      </c>
      <c r="H16" s="40" t="n">
        <f aca="false">INDEX(Cov_Lambda,MATCH(C16,Cov_Cod,0))</f>
        <v>0.85</v>
      </c>
      <c r="I16" s="18" t="n">
        <f aca="false">INDEX(Cov_Mu,MATCH(C16,Cov_Cod,0))</f>
        <v>34500</v>
      </c>
      <c r="J16" s="40" t="n">
        <f aca="false">IF(INDEX(Cov_FR,MATCH(C16,Cov_Cod,0))="S",INDEX(PF_Factor,MATCH("SAU|"&amp;B16,PF_Key,0)),1)</f>
        <v>0.85</v>
      </c>
      <c r="K16" s="18" t="n">
        <f aca="false">IF(C16="HOSP_INT",los_int,IF(C16="HOSP_CIR",los_cir,0))*MAX(0,room_ref*J16-INDEX(PF_Room,MATCH("SAU|"&amp;B16,PF_Key,0)))</f>
        <v>0</v>
      </c>
      <c r="L16" s="18" t="n">
        <f aca="false">MAX(0,I16*J16-K16)</f>
        <v>29325</v>
      </c>
      <c r="M16" s="40" t="n">
        <f aca="false">f_trend</f>
        <v>1.182194</v>
      </c>
      <c r="N16" s="18" t="n">
        <f aca="false">H16*L16*M16/(1-EXP(-H16))</f>
        <v>51464.253674637</v>
      </c>
      <c r="O16" s="44" t="n">
        <f aca="false">INDEX(Cov_CV,MATCH(C16,Cov_Cod,0))</f>
        <v>1</v>
      </c>
      <c r="P16" s="40" t="n">
        <f aca="false">SQRT(LN(1+O16^2))</f>
        <v>0.832554611157698</v>
      </c>
      <c r="Q16" s="40" t="n">
        <f aca="false">LN(N16)-P16^2/2</f>
        <v>10.5020691519655</v>
      </c>
      <c r="R16" s="40" t="n">
        <f aca="false">IF(G16&lt;=0,1,NORMSDIST((LN(G16)-Q16-P16^2)/P16)+G16/N16*(1-NORMSDIST((LN(G16)-Q16)/P16)))</f>
        <v>1</v>
      </c>
      <c r="S16" s="14" t="n">
        <f aca="false">IF(F16="—",0,H16*L16*M16*R16)</f>
        <v>0</v>
      </c>
      <c r="T16" s="18" t="n">
        <f aca="false">S16*sig_SAU</f>
        <v>0</v>
      </c>
      <c r="U16" s="14" t="n">
        <f aca="false">S16+T16</f>
        <v>0</v>
      </c>
      <c r="V16" s="14" t="n">
        <f aca="false">U16/(1-load_SAU)</f>
        <v>0</v>
      </c>
      <c r="W16" s="18" t="n">
        <f aca="false">V16*ea_SAU</f>
        <v>0</v>
      </c>
      <c r="X16" s="18" t="n">
        <f aca="false">V16*ec_SAU</f>
        <v>0</v>
      </c>
      <c r="Y16" s="18" t="n">
        <f aca="false">V16*m_SAU</f>
        <v>0</v>
      </c>
      <c r="Z16" s="18" t="n">
        <f aca="false">V16*tax_SAU</f>
        <v>0</v>
      </c>
      <c r="AA16" s="19" t="n">
        <f aca="false">V16+Z16</f>
        <v>0</v>
      </c>
      <c r="AB16" s="40" t="str">
        <f aca="false">IF(G16&gt;0,S16/G16*1000,"n.a.")</f>
        <v>n.a.</v>
      </c>
    </row>
    <row r="17" customFormat="false" ht="15" hidden="false" customHeight="false" outlineLevel="0" collapsed="false">
      <c r="A17" s="32" t="str">
        <f aca="false">B17&amp;"|"&amp;C17</f>
        <v>Base|PROT</v>
      </c>
      <c r="B17" s="16" t="s">
        <v>295</v>
      </c>
      <c r="C17" s="7" t="s">
        <v>180</v>
      </c>
      <c r="D17" s="32" t="str">
        <f aca="false">INDEX(Cov_Nome,MATCH(C17,Cov_Cod,0))</f>
        <v>Próteses Dentárias</v>
      </c>
      <c r="E17" s="32" t="str">
        <f aca="false">INDEX(Cov_Grupo,MATCH(C17,Cov_Cod,0))</f>
        <v>Extensão</v>
      </c>
      <c r="F17" s="37" t="s">
        <v>298</v>
      </c>
      <c r="G17" s="35" t="n">
        <v>0</v>
      </c>
      <c r="H17" s="40" t="n">
        <f aca="false">INDEX(Cov_Lambda,MATCH(C17,Cov_Cod,0))</f>
        <v>0.02</v>
      </c>
      <c r="I17" s="18" t="n">
        <f aca="false">INDEX(Cov_Mu,MATCH(C17,Cov_Cod,0))</f>
        <v>304000</v>
      </c>
      <c r="J17" s="40" t="n">
        <f aca="false">IF(INDEX(Cov_FR,MATCH(C17,Cov_Cod,0))="S",INDEX(PF_Factor,MATCH("SAU|"&amp;B17,PF_Key,0)),1)</f>
        <v>1</v>
      </c>
      <c r="K17" s="18" t="n">
        <f aca="false">IF(C17="HOSP_INT",los_int,IF(C17="HOSP_CIR",los_cir,0))*MAX(0,room_ref*J17-INDEX(PF_Room,MATCH("SAU|"&amp;B17,PF_Key,0)))</f>
        <v>0</v>
      </c>
      <c r="L17" s="18" t="n">
        <f aca="false">MAX(0,I17*J17-K17)</f>
        <v>304000</v>
      </c>
      <c r="M17" s="40" t="n">
        <f aca="false">f_trend</f>
        <v>1.182194</v>
      </c>
      <c r="N17" s="18" t="n">
        <f aca="false">H17*L17*M17/(1-EXP(-H17))</f>
        <v>362992.825246003</v>
      </c>
      <c r="O17" s="44" t="n">
        <f aca="false">INDEX(Cov_CV,MATCH(C17,Cov_Cod,0))</f>
        <v>0.7</v>
      </c>
      <c r="P17" s="40" t="n">
        <f aca="false">SQRT(LN(1+O17^2))</f>
        <v>0.631487228657372</v>
      </c>
      <c r="Q17" s="40" t="n">
        <f aca="false">LN(N17)-P17^2/2</f>
        <v>12.6027502879104</v>
      </c>
      <c r="R17" s="40" t="n">
        <f aca="false">IF(G17&lt;=0,1,NORMSDIST((LN(G17)-Q17-P17^2)/P17)+G17/N17*(1-NORMSDIST((LN(G17)-Q17)/P17)))</f>
        <v>1</v>
      </c>
      <c r="S17" s="14" t="n">
        <f aca="false">IF(F17="—",0,H17*L17*M17*R17)</f>
        <v>0</v>
      </c>
      <c r="T17" s="18" t="n">
        <f aca="false">S17*sig_SAU</f>
        <v>0</v>
      </c>
      <c r="U17" s="14" t="n">
        <f aca="false">S17+T17</f>
        <v>0</v>
      </c>
      <c r="V17" s="14" t="n">
        <f aca="false">U17/(1-load_SAU)</f>
        <v>0</v>
      </c>
      <c r="W17" s="18" t="n">
        <f aca="false">V17*ea_SAU</f>
        <v>0</v>
      </c>
      <c r="X17" s="18" t="n">
        <f aca="false">V17*ec_SAU</f>
        <v>0</v>
      </c>
      <c r="Y17" s="18" t="n">
        <f aca="false">V17*m_SAU</f>
        <v>0</v>
      </c>
      <c r="Z17" s="18" t="n">
        <f aca="false">V17*tax_SAU</f>
        <v>0</v>
      </c>
      <c r="AA17" s="19" t="n">
        <f aca="false">V17+Z17</f>
        <v>0</v>
      </c>
      <c r="AB17" s="40" t="str">
        <f aca="false">IF(G17&gt;0,S17/G17*1000,"n.a.")</f>
        <v>n.a.</v>
      </c>
    </row>
    <row r="18" customFormat="false" ht="15" hidden="false" customHeight="false" outlineLevel="0" collapsed="false">
      <c r="A18" s="32" t="str">
        <f aca="false">B18&amp;"|"&amp;C18</f>
        <v>Base|OPT</v>
      </c>
      <c r="B18" s="16" t="s">
        <v>295</v>
      </c>
      <c r="C18" s="7" t="s">
        <v>184</v>
      </c>
      <c r="D18" s="32" t="str">
        <f aca="false">INDEX(Cov_Nome,MATCH(C18,Cov_Cod,0))</f>
        <v>Óptica — Lentes e Armações</v>
      </c>
      <c r="E18" s="32" t="str">
        <f aca="false">INDEX(Cov_Grupo,MATCH(C18,Cov_Cod,0))</f>
        <v>Extensão</v>
      </c>
      <c r="F18" s="37" t="s">
        <v>298</v>
      </c>
      <c r="G18" s="35" t="n">
        <v>0</v>
      </c>
      <c r="H18" s="40" t="n">
        <f aca="false">INDEX(Cov_Lambda,MATCH(C18,Cov_Cod,0))</f>
        <v>0.22</v>
      </c>
      <c r="I18" s="18" t="n">
        <f aca="false">INDEX(Cov_Mu,MATCH(C18,Cov_Cod,0))</f>
        <v>102500</v>
      </c>
      <c r="J18" s="40" t="n">
        <f aca="false">IF(INDEX(Cov_FR,MATCH(C18,Cov_Cod,0))="S",INDEX(PF_Factor,MATCH("SAU|"&amp;B18,PF_Key,0)),1)</f>
        <v>1</v>
      </c>
      <c r="K18" s="18" t="n">
        <f aca="false">IF(C18="HOSP_INT",los_int,IF(C18="HOSP_CIR",los_cir,0))*MAX(0,room_ref*J18-INDEX(PF_Room,MATCH("SAU|"&amp;B18,PF_Key,0)))</f>
        <v>0</v>
      </c>
      <c r="L18" s="18" t="n">
        <f aca="false">MAX(0,I18*J18-K18)</f>
        <v>102500</v>
      </c>
      <c r="M18" s="40" t="n">
        <f aca="false">f_trend</f>
        <v>1.182194</v>
      </c>
      <c r="N18" s="18" t="n">
        <f aca="false">H18*L18*M18/(1-EXP(-H18))</f>
        <v>134992.467257389</v>
      </c>
      <c r="O18" s="44" t="n">
        <f aca="false">INDEX(Cov_CV,MATCH(C18,Cov_Cod,0))</f>
        <v>0.5</v>
      </c>
      <c r="P18" s="40" t="n">
        <f aca="false">SQRT(LN(1+O18^2))</f>
        <v>0.472380727077439</v>
      </c>
      <c r="Q18" s="40" t="n">
        <f aca="false">LN(N18)-P18^2/2</f>
        <v>11.7014024821133</v>
      </c>
      <c r="R18" s="40" t="n">
        <f aca="false">IF(G18&lt;=0,1,NORMSDIST((LN(G18)-Q18-P18^2)/P18)+G18/N18*(1-NORMSDIST((LN(G18)-Q18)/P18)))</f>
        <v>1</v>
      </c>
      <c r="S18" s="14" t="n">
        <f aca="false">IF(F18="—",0,H18*L18*M18*R18)</f>
        <v>0</v>
      </c>
      <c r="T18" s="18" t="n">
        <f aca="false">S18*sig_SAU</f>
        <v>0</v>
      </c>
      <c r="U18" s="14" t="n">
        <f aca="false">S18+T18</f>
        <v>0</v>
      </c>
      <c r="V18" s="14" t="n">
        <f aca="false">U18/(1-load_SAU)</f>
        <v>0</v>
      </c>
      <c r="W18" s="18" t="n">
        <f aca="false">V18*ea_SAU</f>
        <v>0</v>
      </c>
      <c r="X18" s="18" t="n">
        <f aca="false">V18*ec_SAU</f>
        <v>0</v>
      </c>
      <c r="Y18" s="18" t="n">
        <f aca="false">V18*m_SAU</f>
        <v>0</v>
      </c>
      <c r="Z18" s="18" t="n">
        <f aca="false">V18*tax_SAU</f>
        <v>0</v>
      </c>
      <c r="AA18" s="19" t="n">
        <f aca="false">V18+Z18</f>
        <v>0</v>
      </c>
      <c r="AB18" s="40" t="str">
        <f aca="false">IF(G18&gt;0,S18/G18*1000,"n.a.")</f>
        <v>n.a.</v>
      </c>
    </row>
    <row r="19" customFormat="false" ht="15" hidden="false" customHeight="false" outlineLevel="0" collapsed="false">
      <c r="A19" s="32" t="str">
        <f aca="false">B19&amp;"|"&amp;C19</f>
        <v>Base|PREV</v>
      </c>
      <c r="B19" s="16" t="s">
        <v>295</v>
      </c>
      <c r="C19" s="7" t="s">
        <v>188</v>
      </c>
      <c r="D19" s="32" t="str">
        <f aca="false">INDEX(Cov_Nome,MATCH(C19,Cov_Cod,0))</f>
        <v>Medicina Preventiva e Check-up Anual</v>
      </c>
      <c r="E19" s="32" t="str">
        <f aca="false">INDEX(Cov_Grupo,MATCH(C19,Cov_Cod,0))</f>
        <v>Extensão</v>
      </c>
      <c r="F19" s="37" t="s">
        <v>298</v>
      </c>
      <c r="G19" s="35" t="n">
        <v>0</v>
      </c>
      <c r="H19" s="40" t="n">
        <f aca="false">INDEX(Cov_Lambda,MATCH(C19,Cov_Cod,0))</f>
        <v>0.55</v>
      </c>
      <c r="I19" s="18" t="n">
        <f aca="false">INDEX(Cov_Mu,MATCH(C19,Cov_Cod,0))</f>
        <v>76000</v>
      </c>
      <c r="J19" s="40" t="n">
        <f aca="false">IF(INDEX(Cov_FR,MATCH(C19,Cov_Cod,0))="S",INDEX(PF_Factor,MATCH("SAU|"&amp;B19,PF_Key,0)),1)</f>
        <v>1</v>
      </c>
      <c r="K19" s="18" t="n">
        <f aca="false">IF(C19="HOSP_INT",los_int,IF(C19="HOSP_CIR",los_cir,0))*MAX(0,room_ref*J19-INDEX(PF_Room,MATCH("SAU|"&amp;B19,PF_Key,0)))</f>
        <v>0</v>
      </c>
      <c r="L19" s="18" t="n">
        <f aca="false">MAX(0,I19*J19-K19)</f>
        <v>76000</v>
      </c>
      <c r="M19" s="40" t="n">
        <f aca="false">f_trend</f>
        <v>1.182194</v>
      </c>
      <c r="N19" s="18" t="n">
        <f aca="false">H19*L19*M19/(1-EXP(-H19))</f>
        <v>116808.14809336</v>
      </c>
      <c r="O19" s="44" t="n">
        <f aca="false">INDEX(Cov_CV,MATCH(C19,Cov_Cod,0))</f>
        <v>0.3</v>
      </c>
      <c r="P19" s="40" t="n">
        <f aca="false">SQRT(LN(1+O19^2))</f>
        <v>0.293560379208524</v>
      </c>
      <c r="Q19" s="40" t="n">
        <f aca="false">LN(N19)-P19^2/2</f>
        <v>11.6251992598958</v>
      </c>
      <c r="R19" s="40" t="n">
        <f aca="false">IF(G19&lt;=0,1,NORMSDIST((LN(G19)-Q19-P19^2)/P19)+G19/N19*(1-NORMSDIST((LN(G19)-Q19)/P19)))</f>
        <v>1</v>
      </c>
      <c r="S19" s="14" t="n">
        <f aca="false">IF(F19="—",0,H19*L19*M19*R19)</f>
        <v>0</v>
      </c>
      <c r="T19" s="18" t="n">
        <f aca="false">S19*sig_SAU</f>
        <v>0</v>
      </c>
      <c r="U19" s="14" t="n">
        <f aca="false">S19+T19</f>
        <v>0</v>
      </c>
      <c r="V19" s="14" t="n">
        <f aca="false">U19/(1-load_SAU)</f>
        <v>0</v>
      </c>
      <c r="W19" s="18" t="n">
        <f aca="false">V19*ea_SAU</f>
        <v>0</v>
      </c>
      <c r="X19" s="18" t="n">
        <f aca="false">V19*ec_SAU</f>
        <v>0</v>
      </c>
      <c r="Y19" s="18" t="n">
        <f aca="false">V19*m_SAU</f>
        <v>0</v>
      </c>
      <c r="Z19" s="18" t="n">
        <f aca="false">V19*tax_SAU</f>
        <v>0</v>
      </c>
      <c r="AA19" s="19" t="n">
        <f aca="false">V19+Z19</f>
        <v>0</v>
      </c>
      <c r="AB19" s="40" t="str">
        <f aca="false">IF(G19&gt;0,S19/G19*1000,"n.a.")</f>
        <v>n.a.</v>
      </c>
    </row>
    <row r="20" customFormat="false" ht="15" hidden="false" customHeight="false" outlineLevel="0" collapsed="false">
      <c r="A20" s="32" t="str">
        <f aca="false">B20&amp;"|"&amp;C20</f>
        <v>Base|EVAC</v>
      </c>
      <c r="B20" s="16" t="s">
        <v>295</v>
      </c>
      <c r="C20" s="7" t="s">
        <v>192</v>
      </c>
      <c r="D20" s="32" t="str">
        <f aca="false">INDEX(Cov_Nome,MATCH(C20,Cov_Cod,0))</f>
        <v>Evacuação Médica e Cobertura no Estrangeiro</v>
      </c>
      <c r="E20" s="32" t="str">
        <f aca="false">INDEX(Cov_Grupo,MATCH(C20,Cov_Cod,0))</f>
        <v>Extensão</v>
      </c>
      <c r="F20" s="37" t="s">
        <v>298</v>
      </c>
      <c r="G20" s="35" t="n">
        <v>0</v>
      </c>
      <c r="H20" s="40" t="n">
        <f aca="false">INDEX(Cov_Lambda,MATCH(C20,Cov_Cod,0))</f>
        <v>0.0012</v>
      </c>
      <c r="I20" s="18" t="n">
        <f aca="false">INDEX(Cov_Mu,MATCH(C20,Cov_Cod,0))</f>
        <v>44700960</v>
      </c>
      <c r="J20" s="40" t="n">
        <f aca="false">IF(INDEX(Cov_FR,MATCH(C20,Cov_Cod,0))="S",INDEX(PF_Factor,MATCH("SAU|"&amp;B20,PF_Key,0)),1)</f>
        <v>1</v>
      </c>
      <c r="K20" s="18" t="n">
        <f aca="false">IF(C20="HOSP_INT",los_int,IF(C20="HOSP_CIR",los_cir,0))*MAX(0,room_ref*J20-INDEX(PF_Room,MATCH("SAU|"&amp;B20,PF_Key,0)))</f>
        <v>0</v>
      </c>
      <c r="L20" s="18" t="n">
        <f aca="false">MAX(0,I20*J20-K20)</f>
        <v>44700960</v>
      </c>
      <c r="M20" s="40" t="n">
        <f aca="false">f_trend</f>
        <v>1.182194</v>
      </c>
      <c r="N20" s="18" t="n">
        <f aca="false">H20*L20*M20/(1-EXP(-H20))</f>
        <v>52876920.171689</v>
      </c>
      <c r="O20" s="44" t="n">
        <f aca="false">INDEX(Cov_CV,MATCH(C20,Cov_Cod,0))</f>
        <v>1</v>
      </c>
      <c r="P20" s="40" t="n">
        <f aca="false">SQRT(LN(1+O20^2))</f>
        <v>0.832554611157698</v>
      </c>
      <c r="Q20" s="40" t="n">
        <f aca="false">LN(N20)-P20^2/2</f>
        <v>17.4369039196952</v>
      </c>
      <c r="R20" s="40" t="n">
        <f aca="false">IF(G20&lt;=0,1,NORMSDIST((LN(G20)-Q20-P20^2)/P20)+G20/N20*(1-NORMSDIST((LN(G20)-Q20)/P20)))</f>
        <v>1</v>
      </c>
      <c r="S20" s="14" t="n">
        <f aca="false">IF(F20="—",0,H20*L20*M20*R20)</f>
        <v>0</v>
      </c>
      <c r="T20" s="18" t="n">
        <f aca="false">S20*sig_SAU</f>
        <v>0</v>
      </c>
      <c r="U20" s="14" t="n">
        <f aca="false">S20+T20</f>
        <v>0</v>
      </c>
      <c r="V20" s="14" t="n">
        <f aca="false">U20/(1-load_SAU)</f>
        <v>0</v>
      </c>
      <c r="W20" s="18" t="n">
        <f aca="false">V20*ea_SAU</f>
        <v>0</v>
      </c>
      <c r="X20" s="18" t="n">
        <f aca="false">V20*ec_SAU</f>
        <v>0</v>
      </c>
      <c r="Y20" s="18" t="n">
        <f aca="false">V20*m_SAU</f>
        <v>0</v>
      </c>
      <c r="Z20" s="18" t="n">
        <f aca="false">V20*tax_SAU</f>
        <v>0</v>
      </c>
      <c r="AA20" s="19" t="n">
        <f aca="false">V20+Z20</f>
        <v>0</v>
      </c>
      <c r="AB20" s="40" t="str">
        <f aca="false">IF(G20&gt;0,S20/G20*1000,"n.a.")</f>
        <v>n.a.</v>
      </c>
    </row>
    <row r="21" customFormat="false" ht="15" hidden="false" customHeight="false" outlineLevel="0" collapsed="false">
      <c r="A21" s="32" t="str">
        <f aca="false">B21&amp;"|"&amp;C21</f>
        <v>Base|ONCO</v>
      </c>
      <c r="B21" s="16" t="s">
        <v>295</v>
      </c>
      <c r="C21" s="7" t="s">
        <v>196</v>
      </c>
      <c r="D21" s="32" t="str">
        <f aca="false">INDEX(Cov_Nome,MATCH(C21,Cov_Cod,0))</f>
        <v>Doenças Graves — Oncologia</v>
      </c>
      <c r="E21" s="32" t="str">
        <f aca="false">INDEX(Cov_Grupo,MATCH(C21,Cov_Cod,0))</f>
        <v>Extensão</v>
      </c>
      <c r="F21" s="37" t="s">
        <v>297</v>
      </c>
      <c r="G21" s="35" t="n">
        <v>10000000</v>
      </c>
      <c r="H21" s="40" t="n">
        <f aca="false">INDEX(Cov_Lambda,MATCH(C21,Cov_Cod,0))</f>
        <v>0.00055</v>
      </c>
      <c r="I21" s="18" t="n">
        <f aca="false">INDEX(Cov_Mu,MATCH(C21,Cov_Cod,0))</f>
        <v>18400000</v>
      </c>
      <c r="J21" s="40" t="n">
        <f aca="false">IF(INDEX(Cov_FR,MATCH(C21,Cov_Cod,0))="S",INDEX(PF_Factor,MATCH("SAU|"&amp;B21,PF_Key,0)),1)</f>
        <v>1</v>
      </c>
      <c r="K21" s="18" t="n">
        <f aca="false">IF(C21="HOSP_INT",los_int,IF(C21="HOSP_CIR",los_cir,0))*MAX(0,room_ref*J21-INDEX(PF_Room,MATCH("SAU|"&amp;B21,PF_Key,0)))</f>
        <v>0</v>
      </c>
      <c r="L21" s="18" t="n">
        <f aca="false">MAX(0,I21*J21-K21)</f>
        <v>18400000</v>
      </c>
      <c r="M21" s="40" t="n">
        <f aca="false">f_trend</f>
        <v>1.182194</v>
      </c>
      <c r="N21" s="18" t="n">
        <f aca="false">H21*L21*M21/(1-EXP(-H21))</f>
        <v>21758352.0499812</v>
      </c>
      <c r="O21" s="44" t="n">
        <f aca="false">INDEX(Cov_CV,MATCH(C21,Cov_Cod,0))</f>
        <v>1</v>
      </c>
      <c r="P21" s="40" t="n">
        <f aca="false">SQRT(LN(1+O21^2))</f>
        <v>0.832554611157698</v>
      </c>
      <c r="Q21" s="40" t="n">
        <f aca="false">LN(N21)-P21^2/2</f>
        <v>16.548934653807</v>
      </c>
      <c r="R21" s="40" t="n">
        <f aca="false">IF(G21&lt;=0,1,NORMSDIST((LN(G21)-Q21-P21^2)/P21)+G21/N21*(1-NORMSDIST((LN(G21)-Q21)/P21)))</f>
        <v>0.409110101877958</v>
      </c>
      <c r="S21" s="14" t="n">
        <f aca="false">IF(F21="—",0,H21*L21*M21*R21)</f>
        <v>4894.51277872865</v>
      </c>
      <c r="T21" s="18" t="n">
        <f aca="false">S21*sig_SAU</f>
        <v>391.561022298292</v>
      </c>
      <c r="U21" s="14" t="n">
        <f aca="false">S21+T21</f>
        <v>5286.07380102694</v>
      </c>
      <c r="V21" s="14" t="n">
        <f aca="false">U21/(1-load_SAU)</f>
        <v>7551.53400146706</v>
      </c>
      <c r="W21" s="18" t="n">
        <f aca="false">V21*ea_SAU</f>
        <v>981.699420190718</v>
      </c>
      <c r="X21" s="18" t="n">
        <f aca="false">V21*ec_SAU</f>
        <v>906.184080176047</v>
      </c>
      <c r="Y21" s="18" t="n">
        <f aca="false">V21*m_SAU</f>
        <v>377.576700073353</v>
      </c>
      <c r="Z21" s="18" t="n">
        <f aca="false">V21*tax_SAU</f>
        <v>75.5153400146706</v>
      </c>
      <c r="AA21" s="19" t="n">
        <f aca="false">V21+Z21</f>
        <v>7627.04934148173</v>
      </c>
      <c r="AB21" s="40" t="n">
        <f aca="false">IF(G21&gt;0,S21/G21*1000,"n.a.")</f>
        <v>0.489451277872865</v>
      </c>
    </row>
    <row r="22" customFormat="false" ht="15" hidden="false" customHeight="false" outlineLevel="0" collapsed="false">
      <c r="A22" s="32" t="str">
        <f aca="false">B22&amp;"|"&amp;C22</f>
        <v>Base|HEMO</v>
      </c>
      <c r="B22" s="16" t="s">
        <v>295</v>
      </c>
      <c r="C22" s="7" t="s">
        <v>200</v>
      </c>
      <c r="D22" s="32" t="str">
        <f aca="false">INDEX(Cov_Nome,MATCH(C22,Cov_Cod,0))</f>
        <v>Doenças Crónicas — Hemodiálise</v>
      </c>
      <c r="E22" s="32" t="str">
        <f aca="false">INDEX(Cov_Grupo,MATCH(C22,Cov_Cod,0))</f>
        <v>Extensão</v>
      </c>
      <c r="F22" s="37" t="s">
        <v>297</v>
      </c>
      <c r="G22" s="35" t="n">
        <v>6000000</v>
      </c>
      <c r="H22" s="40" t="n">
        <f aca="false">INDEX(Cov_Lambda,MATCH(C22,Cov_Cod,0))</f>
        <v>0.00025</v>
      </c>
      <c r="I22" s="18" t="n">
        <f aca="false">INDEX(Cov_Mu,MATCH(C22,Cov_Cod,0))</f>
        <v>14352000</v>
      </c>
      <c r="J22" s="40" t="n">
        <f aca="false">IF(INDEX(Cov_FR,MATCH(C22,Cov_Cod,0))="S",INDEX(PF_Factor,MATCH("SAU|"&amp;B22,PF_Key,0)),1)</f>
        <v>1</v>
      </c>
      <c r="K22" s="18" t="n">
        <f aca="false">IF(C22="HOSP_INT",los_int,IF(C22="HOSP_CIR",los_cir,0))*MAX(0,room_ref*J22-INDEX(PF_Room,MATCH("SAU|"&amp;B22,PF_Key,0)))</f>
        <v>0</v>
      </c>
      <c r="L22" s="18" t="n">
        <f aca="false">MAX(0,I22*J22-K22)</f>
        <v>14352000</v>
      </c>
      <c r="M22" s="40" t="n">
        <f aca="false">f_trend</f>
        <v>1.182194</v>
      </c>
      <c r="N22" s="18" t="n">
        <f aca="false">H22*L22*M22/(1-EXP(-H22))</f>
        <v>16968969.2324074</v>
      </c>
      <c r="O22" s="44" t="n">
        <f aca="false">INDEX(Cov_CV,MATCH(C22,Cov_Cod,0))</f>
        <v>0.4</v>
      </c>
      <c r="P22" s="40" t="n">
        <f aca="false">SQRT(LN(1+O22^2))</f>
        <v>0.385253170159927</v>
      </c>
      <c r="Q22" s="40" t="n">
        <f aca="false">LN(N22)-P22^2/2</f>
        <v>16.5726868922294</v>
      </c>
      <c r="R22" s="40" t="n">
        <f aca="false">IF(G22&lt;=0,1,NORMSDIST((LN(G22)-Q22-P22^2)/P22)+G22/N22*(1-NORMSDIST((LN(G22)-Q22)/P22)))</f>
        <v>0.353346390833894</v>
      </c>
      <c r="S22" s="14" t="n">
        <f aca="false">IF(F22="—",0,H22*L22*M22*R22)</f>
        <v>1498.79365159776</v>
      </c>
      <c r="T22" s="18" t="n">
        <f aca="false">S22*sig_SAU</f>
        <v>119.903492127821</v>
      </c>
      <c r="U22" s="14" t="n">
        <f aca="false">S22+T22</f>
        <v>1618.69714372558</v>
      </c>
      <c r="V22" s="14" t="n">
        <f aca="false">U22/(1-load_SAU)</f>
        <v>2312.42449103654</v>
      </c>
      <c r="W22" s="18" t="n">
        <f aca="false">V22*ea_SAU</f>
        <v>300.61518383475</v>
      </c>
      <c r="X22" s="18" t="n">
        <f aca="false">V22*ec_SAU</f>
        <v>277.490938924385</v>
      </c>
      <c r="Y22" s="18" t="n">
        <f aca="false">V22*m_SAU</f>
        <v>115.621224551827</v>
      </c>
      <c r="Z22" s="18" t="n">
        <f aca="false">V22*tax_SAU</f>
        <v>23.1242449103654</v>
      </c>
      <c r="AA22" s="19" t="n">
        <f aca="false">V22+Z22</f>
        <v>2335.54873594691</v>
      </c>
      <c r="AB22" s="40" t="n">
        <f aca="false">IF(G22&gt;0,S22/G22*1000,"n.a.")</f>
        <v>0.24979894193296</v>
      </c>
    </row>
    <row r="23" customFormat="false" ht="15" hidden="false" customHeight="false" outlineLevel="0" collapsed="false">
      <c r="A23" s="38" t="str">
        <f aca="false">B23&amp;"|"&amp;C23</f>
        <v>Conforto|HOSP_INT</v>
      </c>
      <c r="B23" s="21" t="s">
        <v>299</v>
      </c>
      <c r="C23" s="9" t="s">
        <v>132</v>
      </c>
      <c r="D23" s="38" t="str">
        <f aca="false">INDEX(Cov_Nome,MATCH(C23,Cov_Cod,0))</f>
        <v>Internamento Hospitalar Médico (incl. malária grave)</v>
      </c>
      <c r="E23" s="38" t="str">
        <f aca="false">INDEX(Cov_Grupo,MATCH(C23,Cov_Cod,0))</f>
        <v>Principal</v>
      </c>
      <c r="F23" s="37" t="s">
        <v>296</v>
      </c>
      <c r="G23" s="35" t="n">
        <v>15000000</v>
      </c>
      <c r="H23" s="41" t="n">
        <f aca="false">INDEX(Cov_Lambda,MATCH(C23,Cov_Cod,0))</f>
        <v>0.045</v>
      </c>
      <c r="I23" s="46" t="n">
        <f aca="false">INDEX(Cov_Mu,MATCH(C23,Cov_Cod,0))</f>
        <v>854500</v>
      </c>
      <c r="J23" s="41" t="n">
        <f aca="false">IF(INDEX(Cov_FR,MATCH(C23,Cov_Cod,0))="S",INDEX(PF_Factor,MATCH("SAU|"&amp;B23,PF_Key,0)),1)</f>
        <v>1</v>
      </c>
      <c r="K23" s="46" t="n">
        <f aca="false">IF(C23="HOSP_INT",los_int,IF(C23="HOSP_CIR",los_cir,0))*MAX(0,room_ref*J23-INDEX(PF_Room,MATCH("SAU|"&amp;B23,PF_Key,0)))</f>
        <v>0</v>
      </c>
      <c r="L23" s="46" t="n">
        <f aca="false">MAX(0,I23*J23-K23)</f>
        <v>854500</v>
      </c>
      <c r="M23" s="41" t="n">
        <f aca="false">f_trend</f>
        <v>1.182194</v>
      </c>
      <c r="N23" s="46" t="n">
        <f aca="false">H23*L23*M23/(1-EXP(-H23))</f>
        <v>1033084.3933199</v>
      </c>
      <c r="O23" s="47" t="n">
        <f aca="false">INDEX(Cov_CV,MATCH(C23,Cov_Cod,0))</f>
        <v>1.5</v>
      </c>
      <c r="P23" s="41" t="n">
        <f aca="false">SQRT(LN(1+O23^2))</f>
        <v>1.08565878449062</v>
      </c>
      <c r="Q23" s="41" t="n">
        <f aca="false">LN(N23)-P23^2/2</f>
        <v>13.2587319439026</v>
      </c>
      <c r="R23" s="41" t="n">
        <f aca="false">IF(G23&lt;=0,1,NORMSDIST((LN(G23)-Q23-P23^2)/P23)+G23/N23*(1-NORMSDIST((LN(G23)-Q23)/P23)))</f>
        <v>0.991809920668298</v>
      </c>
      <c r="S23" s="13" t="n">
        <f aca="false">IF(F23="—",0,H23*L23*M23*R23)</f>
        <v>45086.0075806254</v>
      </c>
      <c r="T23" s="46" t="n">
        <f aca="false">S23*sig_SAU</f>
        <v>3606.88060645003</v>
      </c>
      <c r="U23" s="13" t="n">
        <f aca="false">S23+T23</f>
        <v>48692.8881870754</v>
      </c>
      <c r="V23" s="13" t="n">
        <f aca="false">U23/(1-load_SAU)</f>
        <v>69561.2688386791</v>
      </c>
      <c r="W23" s="46" t="n">
        <f aca="false">V23*ea_SAU</f>
        <v>9042.96494902829</v>
      </c>
      <c r="X23" s="46" t="n">
        <f aca="false">V23*ec_SAU</f>
        <v>8347.3522606415</v>
      </c>
      <c r="Y23" s="46" t="n">
        <f aca="false">V23*m_SAU</f>
        <v>3478.06344193396</v>
      </c>
      <c r="Z23" s="46" t="n">
        <f aca="false">V23*tax_SAU</f>
        <v>695.612688386791</v>
      </c>
      <c r="AA23" s="19" t="n">
        <f aca="false">V23+Z23</f>
        <v>70256.8815270659</v>
      </c>
      <c r="AB23" s="41" t="n">
        <f aca="false">IF(G23&gt;0,S23/G23*1000,"n.a.")</f>
        <v>3.00573383870836</v>
      </c>
    </row>
    <row r="24" customFormat="false" ht="15" hidden="false" customHeight="false" outlineLevel="0" collapsed="false">
      <c r="A24" s="38" t="str">
        <f aca="false">B24&amp;"|"&amp;C24</f>
        <v>Conforto|HOSP_CIR</v>
      </c>
      <c r="B24" s="21" t="s">
        <v>299</v>
      </c>
      <c r="C24" s="9" t="s">
        <v>139</v>
      </c>
      <c r="D24" s="38" t="str">
        <f aca="false">INDEX(Cov_Nome,MATCH(C24,Cov_Cod,0))</f>
        <v>Cirurgia (com internamento e de ambulatório)</v>
      </c>
      <c r="E24" s="38" t="str">
        <f aca="false">INDEX(Cov_Grupo,MATCH(C24,Cov_Cod,0))</f>
        <v>Principal</v>
      </c>
      <c r="F24" s="37" t="s">
        <v>296</v>
      </c>
      <c r="G24" s="35" t="n">
        <v>15000000</v>
      </c>
      <c r="H24" s="41" t="n">
        <f aca="false">INDEX(Cov_Lambda,MATCH(C24,Cov_Cod,0))</f>
        <v>0.024</v>
      </c>
      <c r="I24" s="46" t="n">
        <f aca="false">INDEX(Cov_Mu,MATCH(C24,Cov_Cod,0))</f>
        <v>2032500</v>
      </c>
      <c r="J24" s="41" t="n">
        <f aca="false">IF(INDEX(Cov_FR,MATCH(C24,Cov_Cod,0))="S",INDEX(PF_Factor,MATCH("SAU|"&amp;B24,PF_Key,0)),1)</f>
        <v>1</v>
      </c>
      <c r="K24" s="46" t="n">
        <f aca="false">IF(C24="HOSP_INT",los_int,IF(C24="HOSP_CIR",los_cir,0))*MAX(0,room_ref*J24-INDEX(PF_Room,MATCH("SAU|"&amp;B24,PF_Key,0)))</f>
        <v>0</v>
      </c>
      <c r="L24" s="46" t="n">
        <f aca="false">MAX(0,I24*J24-K24)</f>
        <v>2032500</v>
      </c>
      <c r="M24" s="41" t="n">
        <f aca="false">f_trend</f>
        <v>1.182194</v>
      </c>
      <c r="N24" s="46" t="n">
        <f aca="false">H24*L24*M24/(1-EXP(-H24))</f>
        <v>2431758.35039944</v>
      </c>
      <c r="O24" s="47" t="n">
        <f aca="false">INDEX(Cov_CV,MATCH(C24,Cov_Cod,0))</f>
        <v>1.3</v>
      </c>
      <c r="P24" s="41" t="n">
        <f aca="false">SQRT(LN(1+O24^2))</f>
        <v>0.994756851503797</v>
      </c>
      <c r="Q24" s="41" t="n">
        <f aca="false">LN(N24)-P24^2/2</f>
        <v>14.2093545578243</v>
      </c>
      <c r="R24" s="41" t="n">
        <f aca="false">IF(G24&lt;=0,1,NORMSDIST((LN(G24)-Q24-P24^2)/P24)+G24/N24*(1-NORMSDIST((LN(G24)-Q24)/P24)))</f>
        <v>0.970186452095334</v>
      </c>
      <c r="S24" s="13" t="n">
        <f aca="false">IF(F24="—",0,H24*L24*M24*R24)</f>
        <v>55948.1528323105</v>
      </c>
      <c r="T24" s="46" t="n">
        <f aca="false">S24*sig_SAU</f>
        <v>4475.85222658484</v>
      </c>
      <c r="U24" s="13" t="n">
        <f aca="false">S24+T24</f>
        <v>60424.0050588954</v>
      </c>
      <c r="V24" s="13" t="n">
        <f aca="false">U24/(1-load_SAU)</f>
        <v>86320.0072269934</v>
      </c>
      <c r="W24" s="46" t="n">
        <f aca="false">V24*ea_SAU</f>
        <v>11221.6009395091</v>
      </c>
      <c r="X24" s="46" t="n">
        <f aca="false">V24*ec_SAU</f>
        <v>10358.4008672392</v>
      </c>
      <c r="Y24" s="46" t="n">
        <f aca="false">V24*m_SAU</f>
        <v>4316.00036134967</v>
      </c>
      <c r="Z24" s="46" t="n">
        <f aca="false">V24*tax_SAU</f>
        <v>863.200072269934</v>
      </c>
      <c r="AA24" s="19" t="n">
        <f aca="false">V24+Z24</f>
        <v>87183.2072992633</v>
      </c>
      <c r="AB24" s="41" t="n">
        <f aca="false">IF(G24&gt;0,S24/G24*1000,"n.a.")</f>
        <v>3.72987685548737</v>
      </c>
    </row>
    <row r="25" customFormat="false" ht="15" hidden="false" customHeight="false" outlineLevel="0" collapsed="false">
      <c r="A25" s="38" t="str">
        <f aca="false">B25&amp;"|"&amp;C25</f>
        <v>Conforto|HOSP_UCI</v>
      </c>
      <c r="B25" s="21" t="s">
        <v>299</v>
      </c>
      <c r="C25" s="9" t="s">
        <v>143</v>
      </c>
      <c r="D25" s="38" t="str">
        <f aca="false">INDEX(Cov_Nome,MATCH(C25,Cov_Cod,0))</f>
        <v>Cuidados Intensivos (UCI)</v>
      </c>
      <c r="E25" s="38" t="str">
        <f aca="false">INDEX(Cov_Grupo,MATCH(C25,Cov_Cod,0))</f>
        <v>Principal</v>
      </c>
      <c r="F25" s="37" t="s">
        <v>296</v>
      </c>
      <c r="G25" s="48" t="n">
        <f aca="false">INDEX(PF_UCI,MATCH("SAU|"&amp;B25,PF_Key,0))</f>
        <v>6000000</v>
      </c>
      <c r="H25" s="41" t="n">
        <f aca="false">INDEX(Cov_Lambda,MATCH(C25,Cov_Cod,0))</f>
        <v>0.0035</v>
      </c>
      <c r="I25" s="46" t="n">
        <f aca="false">INDEX(Cov_Mu,MATCH(C25,Cov_Cod,0))</f>
        <v>2835000</v>
      </c>
      <c r="J25" s="41" t="n">
        <f aca="false">IF(INDEX(Cov_FR,MATCH(C25,Cov_Cod,0))="S",INDEX(PF_Factor,MATCH("SAU|"&amp;B25,PF_Key,0)),1)</f>
        <v>1</v>
      </c>
      <c r="K25" s="46" t="n">
        <f aca="false">IF(C25="HOSP_INT",los_int,IF(C25="HOSP_CIR",los_cir,0))*MAX(0,room_ref*J25-INDEX(PF_Room,MATCH("SAU|"&amp;B25,PF_Key,0)))</f>
        <v>0</v>
      </c>
      <c r="L25" s="46" t="n">
        <f aca="false">MAX(0,I25*J25-K25)</f>
        <v>2835000</v>
      </c>
      <c r="M25" s="41" t="n">
        <f aca="false">f_trend</f>
        <v>1.182194</v>
      </c>
      <c r="N25" s="46" t="n">
        <f aca="false">H25*L25*M25/(1-EXP(-H25))</f>
        <v>3357388.5713251</v>
      </c>
      <c r="O25" s="47" t="n">
        <f aca="false">INDEX(Cov_CV,MATCH(C25,Cov_Cod,0))</f>
        <v>1.2</v>
      </c>
      <c r="P25" s="41" t="n">
        <f aca="false">SQRT(LN(1+O25^2))</f>
        <v>0.944456478248262</v>
      </c>
      <c r="Q25" s="41" t="n">
        <f aca="false">LN(N25)-P25^2/2</f>
        <v>14.5806749991867</v>
      </c>
      <c r="R25" s="41" t="n">
        <f aca="false">IF(G25&lt;=0,1,NORMSDIST((LN(G25)-Q25-P25^2)/P25)+G25/N25*(1-NORMSDIST((LN(G25)-Q25)/P25)))</f>
        <v>0.804221337716352</v>
      </c>
      <c r="S25" s="13" t="n">
        <f aca="false">IF(F25="—",0,H25*L25*M25*R25)</f>
        <v>9433.77361409313</v>
      </c>
      <c r="T25" s="46" t="n">
        <f aca="false">S25*sig_SAU</f>
        <v>754.701889127451</v>
      </c>
      <c r="U25" s="13" t="n">
        <f aca="false">S25+T25</f>
        <v>10188.4755032206</v>
      </c>
      <c r="V25" s="13" t="n">
        <f aca="false">U25/(1-load_SAU)</f>
        <v>14554.9650046008</v>
      </c>
      <c r="W25" s="46" t="n">
        <f aca="false">V25*ea_SAU</f>
        <v>1892.14545059811</v>
      </c>
      <c r="X25" s="46" t="n">
        <f aca="false">V25*ec_SAU</f>
        <v>1746.5958005521</v>
      </c>
      <c r="Y25" s="46" t="n">
        <f aca="false">V25*m_SAU</f>
        <v>727.748250230042</v>
      </c>
      <c r="Z25" s="46" t="n">
        <f aca="false">V25*tax_SAU</f>
        <v>145.549650046008</v>
      </c>
      <c r="AA25" s="19" t="n">
        <f aca="false">V25+Z25</f>
        <v>14700.5146546468</v>
      </c>
      <c r="AB25" s="41" t="n">
        <f aca="false">IF(G25&gt;0,S25/G25*1000,"n.a.")</f>
        <v>1.57229560234886</v>
      </c>
    </row>
    <row r="26" customFormat="false" ht="15" hidden="false" customHeight="false" outlineLevel="0" collapsed="false">
      <c r="A26" s="38" t="str">
        <f aca="false">B26&amp;"|"&amp;C26</f>
        <v>Conforto|AMB_CONS</v>
      </c>
      <c r="B26" s="21" t="s">
        <v>299</v>
      </c>
      <c r="C26" s="9" t="s">
        <v>147</v>
      </c>
      <c r="D26" s="38" t="str">
        <f aca="false">INDEX(Cov_Nome,MATCH(C26,Cov_Cod,0))</f>
        <v>Consultas de Clínica Geral e Especialidade (incl. teleconsulta)</v>
      </c>
      <c r="E26" s="38" t="str">
        <f aca="false">INDEX(Cov_Grupo,MATCH(C26,Cov_Cod,0))</f>
        <v>Principal</v>
      </c>
      <c r="F26" s="37" t="s">
        <v>296</v>
      </c>
      <c r="G26" s="35" t="n">
        <v>3000000</v>
      </c>
      <c r="H26" s="41" t="n">
        <f aca="false">INDEX(Cov_Lambda,MATCH(C26,Cov_Cod,0))</f>
        <v>2.6</v>
      </c>
      <c r="I26" s="46" t="n">
        <f aca="false">INDEX(Cov_Mu,MATCH(C26,Cov_Cod,0))</f>
        <v>24000</v>
      </c>
      <c r="J26" s="41" t="n">
        <f aca="false">IF(INDEX(Cov_FR,MATCH(C26,Cov_Cod,0))="S",INDEX(PF_Factor,MATCH("SAU|"&amp;B26,PF_Key,0)),1)</f>
        <v>1</v>
      </c>
      <c r="K26" s="46" t="n">
        <f aca="false">IF(C26="HOSP_INT",los_int,IF(C26="HOSP_CIR",los_cir,0))*MAX(0,room_ref*J26-INDEX(PF_Room,MATCH("SAU|"&amp;B26,PF_Key,0)))</f>
        <v>0</v>
      </c>
      <c r="L26" s="46" t="n">
        <f aca="false">MAX(0,I26*J26-K26)</f>
        <v>24000</v>
      </c>
      <c r="M26" s="41" t="n">
        <f aca="false">f_trend</f>
        <v>1.182194</v>
      </c>
      <c r="N26" s="46" t="n">
        <f aca="false">H26*L26*M26/(1-EXP(-H26))</f>
        <v>79687.5878920087</v>
      </c>
      <c r="O26" s="47" t="n">
        <f aca="false">INDEX(Cov_CV,MATCH(C26,Cov_Cod,0))</f>
        <v>1</v>
      </c>
      <c r="P26" s="41" t="n">
        <f aca="false">SQRT(LN(1+O26^2))</f>
        <v>0.832554611157698</v>
      </c>
      <c r="Q26" s="41" t="n">
        <f aca="false">LN(N26)-P26^2/2</f>
        <v>10.9392955270128</v>
      </c>
      <c r="R26" s="41" t="n">
        <f aca="false">IF(G26&lt;=0,1,NORMSDIST((LN(G26)-Q26-P26^2)/P26)+G26/N26*(1-NORMSDIST((LN(G26)-Q26)/P26)))</f>
        <v>0.99999349966202</v>
      </c>
      <c r="S26" s="13" t="n">
        <f aca="false">IF(F26="—",0,H26*L26*M26*R26)</f>
        <v>73768.4260771812</v>
      </c>
      <c r="T26" s="46" t="n">
        <f aca="false">S26*sig_SAU</f>
        <v>5901.47408617449</v>
      </c>
      <c r="U26" s="13" t="n">
        <f aca="false">S26+T26</f>
        <v>79669.9001633557</v>
      </c>
      <c r="V26" s="13" t="n">
        <f aca="false">U26/(1-load_SAU)</f>
        <v>113814.143090508</v>
      </c>
      <c r="W26" s="46" t="n">
        <f aca="false">V26*ea_SAU</f>
        <v>14795.8386017661</v>
      </c>
      <c r="X26" s="46" t="n">
        <f aca="false">V26*ec_SAU</f>
        <v>13657.697170861</v>
      </c>
      <c r="Y26" s="46" t="n">
        <f aca="false">V26*m_SAU</f>
        <v>5690.70715452541</v>
      </c>
      <c r="Z26" s="46" t="n">
        <f aca="false">V26*tax_SAU</f>
        <v>1138.14143090508</v>
      </c>
      <c r="AA26" s="19" t="n">
        <f aca="false">V26+Z26</f>
        <v>114952.284521413</v>
      </c>
      <c r="AB26" s="41" t="n">
        <f aca="false">IF(G26&gt;0,S26/G26*1000,"n.a.")</f>
        <v>24.5894753590604</v>
      </c>
    </row>
    <row r="27" customFormat="false" ht="15" hidden="false" customHeight="false" outlineLevel="0" collapsed="false">
      <c r="A27" s="38" t="str">
        <f aca="false">B27&amp;"|"&amp;C27</f>
        <v>Conforto|AMB_MCDT</v>
      </c>
      <c r="B27" s="21" t="s">
        <v>299</v>
      </c>
      <c r="C27" s="9" t="s">
        <v>151</v>
      </c>
      <c r="D27" s="38" t="str">
        <f aca="false">INDEX(Cov_Nome,MATCH(C27,Cov_Cod,0))</f>
        <v>MCDT — Exames, Análises e Imagiologia</v>
      </c>
      <c r="E27" s="38" t="str">
        <f aca="false">INDEX(Cov_Grupo,MATCH(C27,Cov_Cod,0))</f>
        <v>Principal</v>
      </c>
      <c r="F27" s="37" t="s">
        <v>296</v>
      </c>
      <c r="G27" s="35" t="n">
        <v>3000000</v>
      </c>
      <c r="H27" s="41" t="n">
        <f aca="false">INDEX(Cov_Lambda,MATCH(C27,Cov_Cod,0))</f>
        <v>3.8</v>
      </c>
      <c r="I27" s="46" t="n">
        <f aca="false">INDEX(Cov_Mu,MATCH(C27,Cov_Cod,0))</f>
        <v>14600</v>
      </c>
      <c r="J27" s="41" t="n">
        <f aca="false">IF(INDEX(Cov_FR,MATCH(C27,Cov_Cod,0))="S",INDEX(PF_Factor,MATCH("SAU|"&amp;B27,PF_Key,0)),1)</f>
        <v>1</v>
      </c>
      <c r="K27" s="46" t="n">
        <f aca="false">IF(C27="HOSP_INT",los_int,IF(C27="HOSP_CIR",los_cir,0))*MAX(0,room_ref*J27-INDEX(PF_Room,MATCH("SAU|"&amp;B27,PF_Key,0)))</f>
        <v>0</v>
      </c>
      <c r="L27" s="46" t="n">
        <f aca="false">MAX(0,I27*J27-K27)</f>
        <v>14600</v>
      </c>
      <c r="M27" s="41" t="n">
        <f aca="false">f_trend</f>
        <v>1.182194</v>
      </c>
      <c r="N27" s="46" t="n">
        <f aca="false">H27*L27*M27/(1-EXP(-H27))</f>
        <v>67088.9548224005</v>
      </c>
      <c r="O27" s="47" t="n">
        <f aca="false">INDEX(Cov_CV,MATCH(C27,Cov_Cod,0))</f>
        <v>1.5</v>
      </c>
      <c r="P27" s="41" t="n">
        <f aca="false">SQRT(LN(1+O27^2))</f>
        <v>1.08565878449062</v>
      </c>
      <c r="Q27" s="41" t="n">
        <f aca="false">LN(N27)-P27^2/2</f>
        <v>10.5244472035258</v>
      </c>
      <c r="R27" s="41" t="n">
        <f aca="false">IF(G27&lt;=0,1,NORMSDIST((LN(G27)-Q27-P27^2)/P27)+G27/N27*(1-NORMSDIST((LN(G27)-Q27)/P27)))</f>
        <v>0.999628364766574</v>
      </c>
      <c r="S27" s="13" t="n">
        <f aca="false">IF(F27="—",0,H27*L27*M27*R27)</f>
        <v>65563.7482625543</v>
      </c>
      <c r="T27" s="46" t="n">
        <f aca="false">S27*sig_SAU</f>
        <v>5245.09986100435</v>
      </c>
      <c r="U27" s="13" t="n">
        <f aca="false">S27+T27</f>
        <v>70808.8481235587</v>
      </c>
      <c r="V27" s="13" t="n">
        <f aca="false">U27/(1-load_SAU)</f>
        <v>101155.49731937</v>
      </c>
      <c r="W27" s="46" t="n">
        <f aca="false">V27*ea_SAU</f>
        <v>13150.214651518</v>
      </c>
      <c r="X27" s="46" t="n">
        <f aca="false">V27*ec_SAU</f>
        <v>12138.6596783243</v>
      </c>
      <c r="Y27" s="46" t="n">
        <f aca="false">V27*m_SAU</f>
        <v>5057.77486596848</v>
      </c>
      <c r="Z27" s="46" t="n">
        <f aca="false">V27*tax_SAU</f>
        <v>1011.5549731937</v>
      </c>
      <c r="AA27" s="19" t="n">
        <f aca="false">V27+Z27</f>
        <v>102167.052292563</v>
      </c>
      <c r="AB27" s="41" t="n">
        <f aca="false">IF(G27&gt;0,S27/G27*1000,"n.a.")</f>
        <v>21.8545827541848</v>
      </c>
    </row>
    <row r="28" customFormat="false" ht="15" hidden="false" customHeight="false" outlineLevel="0" collapsed="false">
      <c r="A28" s="38" t="str">
        <f aca="false">B28&amp;"|"&amp;C28</f>
        <v>Conforto|MAL</v>
      </c>
      <c r="B28" s="21" t="s">
        <v>299</v>
      </c>
      <c r="C28" s="9" t="s">
        <v>155</v>
      </c>
      <c r="D28" s="38" t="str">
        <f aca="false">INDEX(Cov_Nome,MATCH(C28,Cov_Cod,0))</f>
        <v>Malária e Doenças Endémicas (ambulatório)</v>
      </c>
      <c r="E28" s="38" t="str">
        <f aca="false">INDEX(Cov_Grupo,MATCH(C28,Cov_Cod,0))</f>
        <v>Principal</v>
      </c>
      <c r="F28" s="37" t="s">
        <v>296</v>
      </c>
      <c r="G28" s="35" t="n">
        <v>3000000</v>
      </c>
      <c r="H28" s="41" t="n">
        <f aca="false">INDEX(Cov_Lambda,MATCH(C28,Cov_Cod,0))</f>
        <v>0.3</v>
      </c>
      <c r="I28" s="46" t="n">
        <f aca="false">INDEX(Cov_Mu,MATCH(C28,Cov_Cod,0))</f>
        <v>36500</v>
      </c>
      <c r="J28" s="41" t="n">
        <f aca="false">IF(INDEX(Cov_FR,MATCH(C28,Cov_Cod,0))="S",INDEX(PF_Factor,MATCH("SAU|"&amp;B28,PF_Key,0)),1)</f>
        <v>1</v>
      </c>
      <c r="K28" s="46" t="n">
        <f aca="false">IF(C28="HOSP_INT",los_int,IF(C28="HOSP_CIR",los_cir,0))*MAX(0,room_ref*J28-INDEX(PF_Room,MATCH("SAU|"&amp;B28,PF_Key,0)))</f>
        <v>0</v>
      </c>
      <c r="L28" s="46" t="n">
        <f aca="false">MAX(0,I28*J28-K28)</f>
        <v>36500</v>
      </c>
      <c r="M28" s="41" t="n">
        <f aca="false">f_trend</f>
        <v>1.182194</v>
      </c>
      <c r="N28" s="46" t="n">
        <f aca="false">H28*L28*M28/(1-EXP(-H28))</f>
        <v>49945.7343569787</v>
      </c>
      <c r="O28" s="47" t="n">
        <f aca="false">INDEX(Cov_CV,MATCH(C28,Cov_Cod,0))</f>
        <v>0.8</v>
      </c>
      <c r="P28" s="41" t="n">
        <f aca="false">SQRT(LN(1+O28^2))</f>
        <v>0.703346459318668</v>
      </c>
      <c r="Q28" s="41" t="n">
        <f aca="false">LN(N28)-P28^2/2</f>
        <v>10.5713442612533</v>
      </c>
      <c r="R28" s="41" t="n">
        <f aca="false">IF(G28&lt;=0,1,NORMSDIST((LN(G28)-Q28-P28^2)/P28)+G28/N28*(1-NORMSDIST((LN(G28)-Q28)/P28)))</f>
        <v>0.9999999975778</v>
      </c>
      <c r="S28" s="13" t="n">
        <f aca="false">IF(F28="—",0,H28*L28*M28*R28)</f>
        <v>12945.0242686446</v>
      </c>
      <c r="T28" s="46" t="n">
        <f aca="false">S28*sig_SAU</f>
        <v>1035.60194149156</v>
      </c>
      <c r="U28" s="13" t="n">
        <f aca="false">S28+T28</f>
        <v>13980.6262101361</v>
      </c>
      <c r="V28" s="13" t="n">
        <f aca="false">U28/(1-load_SAU)</f>
        <v>19972.3231573373</v>
      </c>
      <c r="W28" s="46" t="n">
        <f aca="false">V28*ea_SAU</f>
        <v>2596.40201045385</v>
      </c>
      <c r="X28" s="46" t="n">
        <f aca="false">V28*ec_SAU</f>
        <v>2396.67877888048</v>
      </c>
      <c r="Y28" s="46" t="n">
        <f aca="false">V28*m_SAU</f>
        <v>998.616157866866</v>
      </c>
      <c r="Z28" s="46" t="n">
        <f aca="false">V28*tax_SAU</f>
        <v>199.723231573373</v>
      </c>
      <c r="AA28" s="19" t="n">
        <f aca="false">V28+Z28</f>
        <v>20172.0463889107</v>
      </c>
      <c r="AB28" s="41" t="n">
        <f aca="false">IF(G28&gt;0,S28/G28*1000,"n.a.")</f>
        <v>4.31500808954819</v>
      </c>
    </row>
    <row r="29" customFormat="false" ht="15" hidden="false" customHeight="false" outlineLevel="0" collapsed="false">
      <c r="A29" s="38" t="str">
        <f aca="false">B29&amp;"|"&amp;C29</f>
        <v>Conforto|MAT</v>
      </c>
      <c r="B29" s="21" t="s">
        <v>299</v>
      </c>
      <c r="C29" s="9" t="s">
        <v>159</v>
      </c>
      <c r="D29" s="38" t="str">
        <f aca="false">INDEX(Cov_Nome,MATCH(C29,Cov_Cod,0))</f>
        <v>Maternidade e Parto (Normal e Cesariana)</v>
      </c>
      <c r="E29" s="38" t="str">
        <f aca="false">INDEX(Cov_Grupo,MATCH(C29,Cov_Cod,0))</f>
        <v>Principal</v>
      </c>
      <c r="F29" s="37" t="s">
        <v>297</v>
      </c>
      <c r="G29" s="35" t="n">
        <v>1000000</v>
      </c>
      <c r="H29" s="41" t="n">
        <f aca="false">INDEX(Cov_Lambda,MATCH(C29,Cov_Cod,0))</f>
        <v>0.075</v>
      </c>
      <c r="I29" s="46" t="n">
        <f aca="false">INDEX(Cov_Mu,MATCH(C29,Cov_Cod,0))</f>
        <v>885640</v>
      </c>
      <c r="J29" s="41" t="n">
        <f aca="false">IF(INDEX(Cov_FR,MATCH(C29,Cov_Cod,0))="S",INDEX(PF_Factor,MATCH("SAU|"&amp;B29,PF_Key,0)),1)</f>
        <v>1</v>
      </c>
      <c r="K29" s="46" t="n">
        <f aca="false">IF(C29="HOSP_INT",los_int,IF(C29="HOSP_CIR",los_cir,0))*MAX(0,room_ref*J29-INDEX(PF_Room,MATCH("SAU|"&amp;B29,PF_Key,0)))</f>
        <v>0</v>
      </c>
      <c r="L29" s="46" t="n">
        <f aca="false">MAX(0,I29*J29-K29)</f>
        <v>885640</v>
      </c>
      <c r="M29" s="41" t="n">
        <f aca="false">f_trend</f>
        <v>1.182194</v>
      </c>
      <c r="N29" s="46" t="n">
        <f aca="false">H29*L29*M29/(1-EXP(-H29))</f>
        <v>1086751.46463688</v>
      </c>
      <c r="O29" s="47" t="n">
        <f aca="false">INDEX(Cov_CV,MATCH(C29,Cov_Cod,0))</f>
        <v>0.5</v>
      </c>
      <c r="P29" s="41" t="n">
        <f aca="false">SQRT(LN(1+O29^2))</f>
        <v>0.472380727077439</v>
      </c>
      <c r="Q29" s="41" t="n">
        <f aca="false">LN(N29)-P29^2/2</f>
        <v>13.787131720915</v>
      </c>
      <c r="R29" s="41" t="n">
        <f aca="false">IF(G29&lt;=0,1,NORMSDIST((LN(G29)-Q29-P29^2)/P29)+G29/N29*(1-NORMSDIST((LN(G29)-Q29)/P29)))</f>
        <v>0.778104428860987</v>
      </c>
      <c r="S29" s="13" t="n">
        <f aca="false">IF(F29="—",0,H29*L29*M29*R29)</f>
        <v>61100.5507271846</v>
      </c>
      <c r="T29" s="46" t="n">
        <f aca="false">S29*sig_SAU</f>
        <v>4888.04405817476</v>
      </c>
      <c r="U29" s="13" t="n">
        <f aca="false">S29+T29</f>
        <v>65988.5947853593</v>
      </c>
      <c r="V29" s="13" t="n">
        <f aca="false">U29/(1-load_SAU)</f>
        <v>94269.4211219419</v>
      </c>
      <c r="W29" s="46" t="n">
        <f aca="false">V29*ea_SAU</f>
        <v>12255.0247458524</v>
      </c>
      <c r="X29" s="46" t="n">
        <f aca="false">V29*ec_SAU</f>
        <v>11312.330534633</v>
      </c>
      <c r="Y29" s="46" t="n">
        <f aca="false">V29*m_SAU</f>
        <v>4713.4710560971</v>
      </c>
      <c r="Z29" s="46" t="n">
        <f aca="false">V29*tax_SAU</f>
        <v>942.694211219419</v>
      </c>
      <c r="AA29" s="19" t="n">
        <f aca="false">V29+Z29</f>
        <v>95212.1153331613</v>
      </c>
      <c r="AB29" s="41" t="n">
        <f aca="false">IF(G29&gt;0,S29/G29*1000,"n.a.")</f>
        <v>61.1005507271846</v>
      </c>
    </row>
    <row r="30" customFormat="false" ht="15" hidden="false" customHeight="false" outlineLevel="0" collapsed="false">
      <c r="A30" s="38" t="str">
        <f aca="false">B30&amp;"|"&amp;C30</f>
        <v>Conforto|URG</v>
      </c>
      <c r="B30" s="21" t="s">
        <v>299</v>
      </c>
      <c r="C30" s="9" t="s">
        <v>164</v>
      </c>
      <c r="D30" s="38" t="str">
        <f aca="false">INDEX(Cov_Nome,MATCH(C30,Cov_Cod,0))</f>
        <v>Urgência Hospitalar</v>
      </c>
      <c r="E30" s="38" t="str">
        <f aca="false">INDEX(Cov_Grupo,MATCH(C30,Cov_Cod,0))</f>
        <v>Principal</v>
      </c>
      <c r="F30" s="37" t="s">
        <v>296</v>
      </c>
      <c r="G30" s="35" t="n">
        <v>500000</v>
      </c>
      <c r="H30" s="41" t="n">
        <f aca="false">INDEX(Cov_Lambda,MATCH(C30,Cov_Cod,0))</f>
        <v>0.42</v>
      </c>
      <c r="I30" s="46" t="n">
        <f aca="false">INDEX(Cov_Mu,MATCH(C30,Cov_Cod,0))</f>
        <v>43300</v>
      </c>
      <c r="J30" s="41" t="n">
        <f aca="false">IF(INDEX(Cov_FR,MATCH(C30,Cov_Cod,0))="S",INDEX(PF_Factor,MATCH("SAU|"&amp;B30,PF_Key,0)),1)</f>
        <v>1</v>
      </c>
      <c r="K30" s="46" t="n">
        <f aca="false">IF(C30="HOSP_INT",los_int,IF(C30="HOSP_CIR",los_cir,0))*MAX(0,room_ref*J30-INDEX(PF_Room,MATCH("SAU|"&amp;B30,PF_Key,0)))</f>
        <v>0</v>
      </c>
      <c r="L30" s="46" t="n">
        <f aca="false">MAX(0,I30*J30-K30)</f>
        <v>43300</v>
      </c>
      <c r="M30" s="41" t="n">
        <f aca="false">f_trend</f>
        <v>1.182194</v>
      </c>
      <c r="N30" s="46" t="n">
        <f aca="false">H30*L30*M30/(1-EXP(-H30))</f>
        <v>62688.9655095372</v>
      </c>
      <c r="O30" s="47" t="n">
        <f aca="false">INDEX(Cov_CV,MATCH(C30,Cov_Cod,0))</f>
        <v>1</v>
      </c>
      <c r="P30" s="41" t="n">
        <f aca="false">SQRT(LN(1+O30^2))</f>
        <v>0.832554611157698</v>
      </c>
      <c r="Q30" s="41" t="n">
        <f aca="false">LN(N30)-P30^2/2</f>
        <v>10.6993671321696</v>
      </c>
      <c r="R30" s="41" t="n">
        <f aca="false">IF(G30&lt;=0,1,NORMSDIST((LN(G30)-Q30-P30^2)/P30)+G30/N30*(1-NORMSDIST((LN(G30)-Q30)/P30)))</f>
        <v>0.995533334315998</v>
      </c>
      <c r="S30" s="13" t="n">
        <f aca="false">IF(F30="—",0,H30*L30*M30*R30)</f>
        <v>21403.3495407515</v>
      </c>
      <c r="T30" s="46" t="n">
        <f aca="false">S30*sig_SAU</f>
        <v>1712.26796326012</v>
      </c>
      <c r="U30" s="13" t="n">
        <f aca="false">S30+T30</f>
        <v>23115.6175040116</v>
      </c>
      <c r="V30" s="13" t="n">
        <f aca="false">U30/(1-load_SAU)</f>
        <v>33022.3107200166</v>
      </c>
      <c r="W30" s="46" t="n">
        <f aca="false">V30*ea_SAU</f>
        <v>4292.90039360216</v>
      </c>
      <c r="X30" s="46" t="n">
        <f aca="false">V30*ec_SAU</f>
        <v>3962.67728640199</v>
      </c>
      <c r="Y30" s="46" t="n">
        <f aca="false">V30*m_SAU</f>
        <v>1651.11553600083</v>
      </c>
      <c r="Z30" s="46" t="n">
        <f aca="false">V30*tax_SAU</f>
        <v>330.223107200166</v>
      </c>
      <c r="AA30" s="19" t="n">
        <f aca="false">V30+Z30</f>
        <v>33352.5338272167</v>
      </c>
      <c r="AB30" s="41" t="n">
        <f aca="false">IF(G30&gt;0,S30/G30*1000,"n.a.")</f>
        <v>42.806699081503</v>
      </c>
    </row>
    <row r="31" customFormat="false" ht="15" hidden="false" customHeight="false" outlineLevel="0" collapsed="false">
      <c r="A31" s="38" t="str">
        <f aca="false">B31&amp;"|"&amp;C31</f>
        <v>Conforto|AMBUL</v>
      </c>
      <c r="B31" s="21" t="s">
        <v>299</v>
      </c>
      <c r="C31" s="9" t="s">
        <v>167</v>
      </c>
      <c r="D31" s="38" t="str">
        <f aca="false">INDEX(Cov_Nome,MATCH(C31,Cov_Cod,0))</f>
        <v>Transporte em Ambulância / Emergência Médica</v>
      </c>
      <c r="E31" s="38" t="str">
        <f aca="false">INDEX(Cov_Grupo,MATCH(C31,Cov_Cod,0))</f>
        <v>Principal</v>
      </c>
      <c r="F31" s="37" t="s">
        <v>296</v>
      </c>
      <c r="G31" s="35" t="n">
        <v>300000</v>
      </c>
      <c r="H31" s="41" t="n">
        <f aca="false">INDEX(Cov_Lambda,MATCH(C31,Cov_Cod,0))</f>
        <v>0.018</v>
      </c>
      <c r="I31" s="46" t="n">
        <f aca="false">INDEX(Cov_Mu,MATCH(C31,Cov_Cod,0))</f>
        <v>76000</v>
      </c>
      <c r="J31" s="41" t="n">
        <f aca="false">IF(INDEX(Cov_FR,MATCH(C31,Cov_Cod,0))="S",INDEX(PF_Factor,MATCH("SAU|"&amp;B31,PF_Key,0)),1)</f>
        <v>1</v>
      </c>
      <c r="K31" s="46" t="n">
        <f aca="false">IF(C31="HOSP_INT",los_int,IF(C31="HOSP_CIR",los_cir,0))*MAX(0,room_ref*J31-INDEX(PF_Room,MATCH("SAU|"&amp;B31,PF_Key,0)))</f>
        <v>0</v>
      </c>
      <c r="L31" s="46" t="n">
        <f aca="false">MAX(0,I31*J31-K31)</f>
        <v>76000</v>
      </c>
      <c r="M31" s="41" t="n">
        <f aca="false">f_trend</f>
        <v>1.182194</v>
      </c>
      <c r="N31" s="46" t="n">
        <f aca="false">H31*L31*M31/(1-EXP(-H31))</f>
        <v>90657.7905449887</v>
      </c>
      <c r="O31" s="47" t="n">
        <f aca="false">INDEX(Cov_CV,MATCH(C31,Cov_Cod,0))</f>
        <v>0.6</v>
      </c>
      <c r="P31" s="41" t="n">
        <f aca="false">SQRT(LN(1+O31^2))</f>
        <v>0.554513029376191</v>
      </c>
      <c r="Q31" s="41" t="n">
        <f aca="false">LN(N31)-P31^2/2</f>
        <v>11.2611048035428</v>
      </c>
      <c r="R31" s="41" t="n">
        <f aca="false">IF(G31&lt;=0,1,NORMSDIST((LN(G31)-Q31-P31^2)/P31)+G31/N31*(1-NORMSDIST((LN(G31)-Q31)/P31)))</f>
        <v>0.994618691716631</v>
      </c>
      <c r="S31" s="13" t="n">
        <f aca="false">IF(F31="—",0,H31*L31*M31*R31)</f>
        <v>1608.53851750102</v>
      </c>
      <c r="T31" s="46" t="n">
        <f aca="false">S31*sig_SAU</f>
        <v>128.683081400082</v>
      </c>
      <c r="U31" s="13" t="n">
        <f aca="false">S31+T31</f>
        <v>1737.22159890111</v>
      </c>
      <c r="V31" s="13" t="n">
        <f aca="false">U31/(1-load_SAU)</f>
        <v>2481.74514128729</v>
      </c>
      <c r="W31" s="46" t="n">
        <f aca="false">V31*ea_SAU</f>
        <v>322.626868367348</v>
      </c>
      <c r="X31" s="46" t="n">
        <f aca="false">V31*ec_SAU</f>
        <v>297.809416954475</v>
      </c>
      <c r="Y31" s="46" t="n">
        <f aca="false">V31*m_SAU</f>
        <v>124.087257064365</v>
      </c>
      <c r="Z31" s="46" t="n">
        <f aca="false">V31*tax_SAU</f>
        <v>24.8174514128729</v>
      </c>
      <c r="AA31" s="19" t="n">
        <f aca="false">V31+Z31</f>
        <v>2506.56259270017</v>
      </c>
      <c r="AB31" s="41" t="n">
        <f aca="false">IF(G31&gt;0,S31/G31*1000,"n.a.")</f>
        <v>5.36179505833674</v>
      </c>
    </row>
    <row r="32" customFormat="false" ht="15" hidden="false" customHeight="false" outlineLevel="0" collapsed="false">
      <c r="A32" s="38" t="str">
        <f aca="false">B32&amp;"|"&amp;C32</f>
        <v>Conforto|MED</v>
      </c>
      <c r="B32" s="21" t="s">
        <v>299</v>
      </c>
      <c r="C32" s="9" t="s">
        <v>172</v>
      </c>
      <c r="D32" s="38" t="str">
        <f aca="false">INDEX(Cov_Nome,MATCH(C32,Cov_Cod,0))</f>
        <v>Medicamentos em Ambulatório (Farmácia)</v>
      </c>
      <c r="E32" s="38" t="str">
        <f aca="false">INDEX(Cov_Grupo,MATCH(C32,Cov_Cod,0))</f>
        <v>Principal</v>
      </c>
      <c r="F32" s="37" t="s">
        <v>297</v>
      </c>
      <c r="G32" s="35" t="n">
        <v>400000</v>
      </c>
      <c r="H32" s="41" t="n">
        <f aca="false">INDEX(Cov_Lambda,MATCH(C32,Cov_Cod,0))</f>
        <v>3.4</v>
      </c>
      <c r="I32" s="46" t="n">
        <f aca="false">INDEX(Cov_Mu,MATCH(C32,Cov_Cod,0))</f>
        <v>17400</v>
      </c>
      <c r="J32" s="41" t="n">
        <f aca="false">IF(INDEX(Cov_FR,MATCH(C32,Cov_Cod,0))="S",INDEX(PF_Factor,MATCH("SAU|"&amp;B32,PF_Key,0)),1)</f>
        <v>1</v>
      </c>
      <c r="K32" s="46" t="n">
        <f aca="false">IF(C32="HOSP_INT",los_int,IF(C32="HOSP_CIR",los_cir,0))*MAX(0,room_ref*J32-INDEX(PF_Room,MATCH("SAU|"&amp;B32,PF_Key,0)))</f>
        <v>0</v>
      </c>
      <c r="L32" s="46" t="n">
        <f aca="false">MAX(0,I32*J32-K32)</f>
        <v>17400</v>
      </c>
      <c r="M32" s="41" t="n">
        <f aca="false">f_trend</f>
        <v>1.182194</v>
      </c>
      <c r="N32" s="46" t="n">
        <f aca="false">H32*L32*M32/(1-EXP(-H32))</f>
        <v>72353.2619847265</v>
      </c>
      <c r="O32" s="47" t="n">
        <f aca="false">INDEX(Cov_CV,MATCH(C32,Cov_Cod,0))</f>
        <v>1.2</v>
      </c>
      <c r="P32" s="41" t="n">
        <f aca="false">SQRT(LN(1+O32^2))</f>
        <v>0.944456478248262</v>
      </c>
      <c r="Q32" s="41" t="n">
        <f aca="false">LN(N32)-P32^2/2</f>
        <v>10.7433167975652</v>
      </c>
      <c r="R32" s="41" t="n">
        <f aca="false">IF(G32&lt;=0,1,NORMSDIST((LN(G32)-Q32-P32^2)/P32)+G32/N32*(1-NORMSDIST((LN(G32)-Q32)/P32)))</f>
        <v>0.971642700555737</v>
      </c>
      <c r="S32" s="13" t="n">
        <f aca="false">IF(F32="—",0,H32*L32*M32*R32)</f>
        <v>67955.327301025</v>
      </c>
      <c r="T32" s="46" t="n">
        <f aca="false">S32*sig_SAU</f>
        <v>5436.426184082</v>
      </c>
      <c r="U32" s="13" t="n">
        <f aca="false">S32+T32</f>
        <v>73391.753485107</v>
      </c>
      <c r="V32" s="13" t="n">
        <f aca="false">U32/(1-load_SAU)</f>
        <v>104845.362121582</v>
      </c>
      <c r="W32" s="46" t="n">
        <f aca="false">V32*ea_SAU</f>
        <v>13629.8970758056</v>
      </c>
      <c r="X32" s="46" t="n">
        <f aca="false">V32*ec_SAU</f>
        <v>12581.4434545898</v>
      </c>
      <c r="Y32" s="46" t="n">
        <f aca="false">V32*m_SAU</f>
        <v>5242.26810607908</v>
      </c>
      <c r="Z32" s="46" t="n">
        <f aca="false">V32*tax_SAU</f>
        <v>1048.45362121582</v>
      </c>
      <c r="AA32" s="19" t="n">
        <f aca="false">V32+Z32</f>
        <v>105893.815742797</v>
      </c>
      <c r="AB32" s="41" t="n">
        <f aca="false">IF(G32&gt;0,S32/G32*1000,"n.a.")</f>
        <v>169.888318252563</v>
      </c>
    </row>
    <row r="33" customFormat="false" ht="15" hidden="false" customHeight="false" outlineLevel="0" collapsed="false">
      <c r="A33" s="38" t="str">
        <f aca="false">B33&amp;"|"&amp;C33</f>
        <v>Conforto|DENT</v>
      </c>
      <c r="B33" s="21" t="s">
        <v>299</v>
      </c>
      <c r="C33" s="9" t="s">
        <v>176</v>
      </c>
      <c r="D33" s="38" t="str">
        <f aca="false">INDEX(Cov_Nome,MATCH(C33,Cov_Cod,0))</f>
        <v>Estomatologia (tratamentos)</v>
      </c>
      <c r="E33" s="38" t="str">
        <f aca="false">INDEX(Cov_Grupo,MATCH(C33,Cov_Cod,0))</f>
        <v>Extensão</v>
      </c>
      <c r="F33" s="37" t="s">
        <v>297</v>
      </c>
      <c r="G33" s="35" t="n">
        <v>250000</v>
      </c>
      <c r="H33" s="41" t="n">
        <f aca="false">INDEX(Cov_Lambda,MATCH(C33,Cov_Cod,0))</f>
        <v>0.85</v>
      </c>
      <c r="I33" s="46" t="n">
        <f aca="false">INDEX(Cov_Mu,MATCH(C33,Cov_Cod,0))</f>
        <v>34500</v>
      </c>
      <c r="J33" s="41" t="n">
        <f aca="false">IF(INDEX(Cov_FR,MATCH(C33,Cov_Cod,0))="S",INDEX(PF_Factor,MATCH("SAU|"&amp;B33,PF_Key,0)),1)</f>
        <v>1</v>
      </c>
      <c r="K33" s="46" t="n">
        <f aca="false">IF(C33="HOSP_INT",los_int,IF(C33="HOSP_CIR",los_cir,0))*MAX(0,room_ref*J33-INDEX(PF_Room,MATCH("SAU|"&amp;B33,PF_Key,0)))</f>
        <v>0</v>
      </c>
      <c r="L33" s="46" t="n">
        <f aca="false">MAX(0,I33*J33-K33)</f>
        <v>34500</v>
      </c>
      <c r="M33" s="41" t="n">
        <f aca="false">f_trend</f>
        <v>1.182194</v>
      </c>
      <c r="N33" s="46" t="n">
        <f aca="false">H33*L33*M33/(1-EXP(-H33))</f>
        <v>60546.1807936905</v>
      </c>
      <c r="O33" s="47" t="n">
        <f aca="false">INDEX(Cov_CV,MATCH(C33,Cov_Cod,0))</f>
        <v>1</v>
      </c>
      <c r="P33" s="41" t="n">
        <f aca="false">SQRT(LN(1+O33^2))</f>
        <v>0.832554611157698</v>
      </c>
      <c r="Q33" s="41" t="n">
        <f aca="false">LN(N33)-P33^2/2</f>
        <v>10.6645880814632</v>
      </c>
      <c r="R33" s="41" t="n">
        <f aca="false">IF(G33&lt;=0,1,NORMSDIST((LN(G33)-Q33-P33^2)/P33)+G33/N33*(1-NORMSDIST((LN(G33)-Q33)/P33)))</f>
        <v>0.971237271889598</v>
      </c>
      <c r="S33" s="13" t="n">
        <f aca="false">IF(F33="—",0,H33*L33*M33*R33)</f>
        <v>33670.6974212297</v>
      </c>
      <c r="T33" s="46" t="n">
        <f aca="false">S33*sig_SAU</f>
        <v>2693.65579369838</v>
      </c>
      <c r="U33" s="13" t="n">
        <f aca="false">S33+T33</f>
        <v>36364.3532149281</v>
      </c>
      <c r="V33" s="13" t="n">
        <f aca="false">U33/(1-load_SAU)</f>
        <v>51949.0760213258</v>
      </c>
      <c r="W33" s="46" t="n">
        <f aca="false">V33*ea_SAU</f>
        <v>6753.37988277236</v>
      </c>
      <c r="X33" s="46" t="n">
        <f aca="false">V33*ec_SAU</f>
        <v>6233.8891225591</v>
      </c>
      <c r="Y33" s="46" t="n">
        <f aca="false">V33*m_SAU</f>
        <v>2597.45380106629</v>
      </c>
      <c r="Z33" s="46" t="n">
        <f aca="false">V33*tax_SAU</f>
        <v>519.490760213258</v>
      </c>
      <c r="AA33" s="19" t="n">
        <f aca="false">V33+Z33</f>
        <v>52468.5667815391</v>
      </c>
      <c r="AB33" s="41" t="n">
        <f aca="false">IF(G33&gt;0,S33/G33*1000,"n.a.")</f>
        <v>134.682789684919</v>
      </c>
    </row>
    <row r="34" customFormat="false" ht="15" hidden="false" customHeight="false" outlineLevel="0" collapsed="false">
      <c r="A34" s="38" t="str">
        <f aca="false">B34&amp;"|"&amp;C34</f>
        <v>Conforto|PROT</v>
      </c>
      <c r="B34" s="21" t="s">
        <v>299</v>
      </c>
      <c r="C34" s="9" t="s">
        <v>180</v>
      </c>
      <c r="D34" s="38" t="str">
        <f aca="false">INDEX(Cov_Nome,MATCH(C34,Cov_Cod,0))</f>
        <v>Próteses Dentárias</v>
      </c>
      <c r="E34" s="38" t="str">
        <f aca="false">INDEX(Cov_Grupo,MATCH(C34,Cov_Cod,0))</f>
        <v>Extensão</v>
      </c>
      <c r="F34" s="37" t="s">
        <v>297</v>
      </c>
      <c r="G34" s="35" t="n">
        <v>150000</v>
      </c>
      <c r="H34" s="41" t="n">
        <f aca="false">INDEX(Cov_Lambda,MATCH(C34,Cov_Cod,0))</f>
        <v>0.02</v>
      </c>
      <c r="I34" s="46" t="n">
        <f aca="false">INDEX(Cov_Mu,MATCH(C34,Cov_Cod,0))</f>
        <v>304000</v>
      </c>
      <c r="J34" s="41" t="n">
        <f aca="false">IF(INDEX(Cov_FR,MATCH(C34,Cov_Cod,0))="S",INDEX(PF_Factor,MATCH("SAU|"&amp;B34,PF_Key,0)),1)</f>
        <v>1</v>
      </c>
      <c r="K34" s="46" t="n">
        <f aca="false">IF(C34="HOSP_INT",los_int,IF(C34="HOSP_CIR",los_cir,0))*MAX(0,room_ref*J34-INDEX(PF_Room,MATCH("SAU|"&amp;B34,PF_Key,0)))</f>
        <v>0</v>
      </c>
      <c r="L34" s="46" t="n">
        <f aca="false">MAX(0,I34*J34-K34)</f>
        <v>304000</v>
      </c>
      <c r="M34" s="41" t="n">
        <f aca="false">f_trend</f>
        <v>1.182194</v>
      </c>
      <c r="N34" s="46" t="n">
        <f aca="false">H34*L34*M34/(1-EXP(-H34))</f>
        <v>362992.825246003</v>
      </c>
      <c r="O34" s="47" t="n">
        <f aca="false">INDEX(Cov_CV,MATCH(C34,Cov_Cod,0))</f>
        <v>0.7</v>
      </c>
      <c r="P34" s="41" t="n">
        <f aca="false">SQRT(LN(1+O34^2))</f>
        <v>0.631487228657372</v>
      </c>
      <c r="Q34" s="41" t="n">
        <f aca="false">LN(N34)-P34^2/2</f>
        <v>12.6027502879104</v>
      </c>
      <c r="R34" s="41" t="n">
        <f aca="false">IF(G34&lt;=0,1,NORMSDIST((LN(G34)-Q34-P34^2)/P34)+G34/N34*(1-NORMSDIST((LN(G34)-Q34)/P34)))</f>
        <v>0.398844748414354</v>
      </c>
      <c r="S34" s="13" t="n">
        <f aca="false">IF(F34="—",0,H34*L34*M34*R34)</f>
        <v>2866.79216052231</v>
      </c>
      <c r="T34" s="46" t="n">
        <f aca="false">S34*sig_SAU</f>
        <v>229.343372841785</v>
      </c>
      <c r="U34" s="13" t="n">
        <f aca="false">S34+T34</f>
        <v>3096.1355333641</v>
      </c>
      <c r="V34" s="13" t="n">
        <f aca="false">U34/(1-load_SAU)</f>
        <v>4423.05076194871</v>
      </c>
      <c r="W34" s="46" t="n">
        <f aca="false">V34*ea_SAU</f>
        <v>574.996599053332</v>
      </c>
      <c r="X34" s="46" t="n">
        <f aca="false">V34*ec_SAU</f>
        <v>530.766091433845</v>
      </c>
      <c r="Y34" s="46" t="n">
        <f aca="false">V34*m_SAU</f>
        <v>221.152538097436</v>
      </c>
      <c r="Z34" s="46" t="n">
        <f aca="false">V34*tax_SAU</f>
        <v>44.2305076194871</v>
      </c>
      <c r="AA34" s="19" t="n">
        <f aca="false">V34+Z34</f>
        <v>4467.2812695682</v>
      </c>
      <c r="AB34" s="41" t="n">
        <f aca="false">IF(G34&gt;0,S34/G34*1000,"n.a.")</f>
        <v>19.1119477368154</v>
      </c>
    </row>
    <row r="35" customFormat="false" ht="15" hidden="false" customHeight="false" outlineLevel="0" collapsed="false">
      <c r="A35" s="38" t="str">
        <f aca="false">B35&amp;"|"&amp;C35</f>
        <v>Conforto|OPT</v>
      </c>
      <c r="B35" s="21" t="s">
        <v>299</v>
      </c>
      <c r="C35" s="9" t="s">
        <v>184</v>
      </c>
      <c r="D35" s="38" t="str">
        <f aca="false">INDEX(Cov_Nome,MATCH(C35,Cov_Cod,0))</f>
        <v>Óptica — Lentes e Armações</v>
      </c>
      <c r="E35" s="38" t="str">
        <f aca="false">INDEX(Cov_Grupo,MATCH(C35,Cov_Cod,0))</f>
        <v>Extensão</v>
      </c>
      <c r="F35" s="37" t="s">
        <v>297</v>
      </c>
      <c r="G35" s="35" t="n">
        <v>100000</v>
      </c>
      <c r="H35" s="41" t="n">
        <f aca="false">INDEX(Cov_Lambda,MATCH(C35,Cov_Cod,0))</f>
        <v>0.22</v>
      </c>
      <c r="I35" s="46" t="n">
        <f aca="false">INDEX(Cov_Mu,MATCH(C35,Cov_Cod,0))</f>
        <v>102500</v>
      </c>
      <c r="J35" s="41" t="n">
        <f aca="false">IF(INDEX(Cov_FR,MATCH(C35,Cov_Cod,0))="S",INDEX(PF_Factor,MATCH("SAU|"&amp;B35,PF_Key,0)),1)</f>
        <v>1</v>
      </c>
      <c r="K35" s="46" t="n">
        <f aca="false">IF(C35="HOSP_INT",los_int,IF(C35="HOSP_CIR",los_cir,0))*MAX(0,room_ref*J35-INDEX(PF_Room,MATCH("SAU|"&amp;B35,PF_Key,0)))</f>
        <v>0</v>
      </c>
      <c r="L35" s="46" t="n">
        <f aca="false">MAX(0,I35*J35-K35)</f>
        <v>102500</v>
      </c>
      <c r="M35" s="41" t="n">
        <f aca="false">f_trend</f>
        <v>1.182194</v>
      </c>
      <c r="N35" s="46" t="n">
        <f aca="false">H35*L35*M35/(1-EXP(-H35))</f>
        <v>134992.467257389</v>
      </c>
      <c r="O35" s="47" t="n">
        <f aca="false">INDEX(Cov_CV,MATCH(C35,Cov_Cod,0))</f>
        <v>0.5</v>
      </c>
      <c r="P35" s="41" t="n">
        <f aca="false">SQRT(LN(1+O35^2))</f>
        <v>0.472380727077439</v>
      </c>
      <c r="Q35" s="41" t="n">
        <f aca="false">LN(N35)-P35^2/2</f>
        <v>11.7014024821133</v>
      </c>
      <c r="R35" s="41" t="n">
        <f aca="false">IF(G35&lt;=0,1,NORMSDIST((LN(G35)-Q35-P35^2)/P35)+G35/N35*(1-NORMSDIST((LN(G35)-Q35)/P35)))</f>
        <v>0.677024968031252</v>
      </c>
      <c r="S35" s="13" t="n">
        <f aca="false">IF(F35="—",0,H35*L35*M35*R35)</f>
        <v>18048.4529815294</v>
      </c>
      <c r="T35" s="46" t="n">
        <f aca="false">S35*sig_SAU</f>
        <v>1443.87623852236</v>
      </c>
      <c r="U35" s="13" t="n">
        <f aca="false">S35+T35</f>
        <v>19492.3292200518</v>
      </c>
      <c r="V35" s="13" t="n">
        <f aca="false">U35/(1-load_SAU)</f>
        <v>27846.184600074</v>
      </c>
      <c r="W35" s="46" t="n">
        <f aca="false">V35*ea_SAU</f>
        <v>3620.00399800962</v>
      </c>
      <c r="X35" s="46" t="n">
        <f aca="false">V35*ec_SAU</f>
        <v>3341.54215200888</v>
      </c>
      <c r="Y35" s="46" t="n">
        <f aca="false">V35*m_SAU</f>
        <v>1392.3092300037</v>
      </c>
      <c r="Z35" s="46" t="n">
        <f aca="false">V35*tax_SAU</f>
        <v>278.46184600074</v>
      </c>
      <c r="AA35" s="19" t="n">
        <f aca="false">V35+Z35</f>
        <v>28124.6464460747</v>
      </c>
      <c r="AB35" s="41" t="n">
        <f aca="false">IF(G35&gt;0,S35/G35*1000,"n.a.")</f>
        <v>180.484529815294</v>
      </c>
    </row>
    <row r="36" customFormat="false" ht="15" hidden="false" customHeight="false" outlineLevel="0" collapsed="false">
      <c r="A36" s="38" t="str">
        <f aca="false">B36&amp;"|"&amp;C36</f>
        <v>Conforto|PREV</v>
      </c>
      <c r="B36" s="21" t="s">
        <v>299</v>
      </c>
      <c r="C36" s="9" t="s">
        <v>188</v>
      </c>
      <c r="D36" s="38" t="str">
        <f aca="false">INDEX(Cov_Nome,MATCH(C36,Cov_Cod,0))</f>
        <v>Medicina Preventiva e Check-up Anual</v>
      </c>
      <c r="E36" s="38" t="str">
        <f aca="false">INDEX(Cov_Grupo,MATCH(C36,Cov_Cod,0))</f>
        <v>Extensão</v>
      </c>
      <c r="F36" s="37" t="s">
        <v>297</v>
      </c>
      <c r="G36" s="35" t="n">
        <v>120000</v>
      </c>
      <c r="H36" s="41" t="n">
        <f aca="false">INDEX(Cov_Lambda,MATCH(C36,Cov_Cod,0))</f>
        <v>0.55</v>
      </c>
      <c r="I36" s="46" t="n">
        <f aca="false">INDEX(Cov_Mu,MATCH(C36,Cov_Cod,0))</f>
        <v>76000</v>
      </c>
      <c r="J36" s="41" t="n">
        <f aca="false">IF(INDEX(Cov_FR,MATCH(C36,Cov_Cod,0))="S",INDEX(PF_Factor,MATCH("SAU|"&amp;B36,PF_Key,0)),1)</f>
        <v>1</v>
      </c>
      <c r="K36" s="46" t="n">
        <f aca="false">IF(C36="HOSP_INT",los_int,IF(C36="HOSP_CIR",los_cir,0))*MAX(0,room_ref*J36-INDEX(PF_Room,MATCH("SAU|"&amp;B36,PF_Key,0)))</f>
        <v>0</v>
      </c>
      <c r="L36" s="46" t="n">
        <f aca="false">MAX(0,I36*J36-K36)</f>
        <v>76000</v>
      </c>
      <c r="M36" s="41" t="n">
        <f aca="false">f_trend</f>
        <v>1.182194</v>
      </c>
      <c r="N36" s="46" t="n">
        <f aca="false">H36*L36*M36/(1-EXP(-H36))</f>
        <v>116808.14809336</v>
      </c>
      <c r="O36" s="47" t="n">
        <f aca="false">INDEX(Cov_CV,MATCH(C36,Cov_Cod,0))</f>
        <v>0.3</v>
      </c>
      <c r="P36" s="41" t="n">
        <f aca="false">SQRT(LN(1+O36^2))</f>
        <v>0.293560379208524</v>
      </c>
      <c r="Q36" s="41" t="n">
        <f aca="false">LN(N36)-P36^2/2</f>
        <v>11.6251992598958</v>
      </c>
      <c r="R36" s="41" t="n">
        <f aca="false">IF(G36&lt;=0,1,NORMSDIST((LN(G36)-Q36-P36^2)/P36)+G36/N36*(1-NORMSDIST((LN(G36)-Q36)/P36)))</f>
        <v>0.894879105436239</v>
      </c>
      <c r="S36" s="13" t="n">
        <f aca="false">IF(F36="—",0,H36*L36*M36*R36)</f>
        <v>44221.0856433933</v>
      </c>
      <c r="T36" s="46" t="n">
        <f aca="false">S36*sig_SAU</f>
        <v>3537.68685147147</v>
      </c>
      <c r="U36" s="13" t="n">
        <f aca="false">S36+T36</f>
        <v>47758.7724948648</v>
      </c>
      <c r="V36" s="13" t="n">
        <f aca="false">U36/(1-load_SAU)</f>
        <v>68226.8178498068</v>
      </c>
      <c r="W36" s="46" t="n">
        <f aca="false">V36*ea_SAU</f>
        <v>8869.48632047489</v>
      </c>
      <c r="X36" s="46" t="n">
        <f aca="false">V36*ec_SAU</f>
        <v>8187.21814197682</v>
      </c>
      <c r="Y36" s="46" t="n">
        <f aca="false">V36*m_SAU</f>
        <v>3411.34089249034</v>
      </c>
      <c r="Z36" s="46" t="n">
        <f aca="false">V36*tax_SAU</f>
        <v>682.268178498068</v>
      </c>
      <c r="AA36" s="19" t="n">
        <f aca="false">V36+Z36</f>
        <v>68909.0860283049</v>
      </c>
      <c r="AB36" s="41" t="n">
        <f aca="false">IF(G36&gt;0,S36/G36*1000,"n.a.")</f>
        <v>368.509047028278</v>
      </c>
    </row>
    <row r="37" customFormat="false" ht="15" hidden="false" customHeight="false" outlineLevel="0" collapsed="false">
      <c r="A37" s="38" t="str">
        <f aca="false">B37&amp;"|"&amp;C37</f>
        <v>Conforto|EVAC</v>
      </c>
      <c r="B37" s="21" t="s">
        <v>299</v>
      </c>
      <c r="C37" s="9" t="s">
        <v>192</v>
      </c>
      <c r="D37" s="38" t="str">
        <f aca="false">INDEX(Cov_Nome,MATCH(C37,Cov_Cod,0))</f>
        <v>Evacuação Médica e Cobertura no Estrangeiro</v>
      </c>
      <c r="E37" s="38" t="str">
        <f aca="false">INDEX(Cov_Grupo,MATCH(C37,Cov_Cod,0))</f>
        <v>Extensão</v>
      </c>
      <c r="F37" s="37" t="s">
        <v>297</v>
      </c>
      <c r="G37" s="35" t="n">
        <v>20000000</v>
      </c>
      <c r="H37" s="41" t="n">
        <f aca="false">INDEX(Cov_Lambda,MATCH(C37,Cov_Cod,0))</f>
        <v>0.0012</v>
      </c>
      <c r="I37" s="46" t="n">
        <f aca="false">INDEX(Cov_Mu,MATCH(C37,Cov_Cod,0))</f>
        <v>44700960</v>
      </c>
      <c r="J37" s="41" t="n">
        <f aca="false">IF(INDEX(Cov_FR,MATCH(C37,Cov_Cod,0))="S",INDEX(PF_Factor,MATCH("SAU|"&amp;B37,PF_Key,0)),1)</f>
        <v>1</v>
      </c>
      <c r="K37" s="46" t="n">
        <f aca="false">IF(C37="HOSP_INT",los_int,IF(C37="HOSP_CIR",los_cir,0))*MAX(0,room_ref*J37-INDEX(PF_Room,MATCH("SAU|"&amp;B37,PF_Key,0)))</f>
        <v>0</v>
      </c>
      <c r="L37" s="46" t="n">
        <f aca="false">MAX(0,I37*J37-K37)</f>
        <v>44700960</v>
      </c>
      <c r="M37" s="41" t="n">
        <f aca="false">f_trend</f>
        <v>1.182194</v>
      </c>
      <c r="N37" s="46" t="n">
        <f aca="false">H37*L37*M37/(1-EXP(-H37))</f>
        <v>52876920.171689</v>
      </c>
      <c r="O37" s="47" t="n">
        <f aca="false">INDEX(Cov_CV,MATCH(C37,Cov_Cod,0))</f>
        <v>1</v>
      </c>
      <c r="P37" s="41" t="n">
        <f aca="false">SQRT(LN(1+O37^2))</f>
        <v>0.832554611157698</v>
      </c>
      <c r="Q37" s="41" t="n">
        <f aca="false">LN(N37)-P37^2/2</f>
        <v>17.4369039196952</v>
      </c>
      <c r="R37" s="41" t="n">
        <f aca="false">IF(G37&lt;=0,1,NORMSDIST((LN(G37)-Q37-P37^2)/P37)+G37/N37*(1-NORMSDIST((LN(G37)-Q37)/P37)))</f>
        <v>0.349279439961288</v>
      </c>
      <c r="S37" s="13" t="n">
        <f aca="false">IF(F37="—",0,H37*L37*M37*R37)</f>
        <v>22149.2930435928</v>
      </c>
      <c r="T37" s="46" t="n">
        <f aca="false">S37*sig_SAU</f>
        <v>1771.94344348743</v>
      </c>
      <c r="U37" s="13" t="n">
        <f aca="false">S37+T37</f>
        <v>23921.2364870803</v>
      </c>
      <c r="V37" s="13" t="n">
        <f aca="false">U37/(1-load_SAU)</f>
        <v>34173.1949815432</v>
      </c>
      <c r="W37" s="46" t="n">
        <f aca="false">V37*ea_SAU</f>
        <v>4442.51534760062</v>
      </c>
      <c r="X37" s="46" t="n">
        <f aca="false">V37*ec_SAU</f>
        <v>4100.78339778519</v>
      </c>
      <c r="Y37" s="46" t="n">
        <f aca="false">V37*m_SAU</f>
        <v>1708.65974907716</v>
      </c>
      <c r="Z37" s="46" t="n">
        <f aca="false">V37*tax_SAU</f>
        <v>341.731949815432</v>
      </c>
      <c r="AA37" s="19" t="n">
        <f aca="false">V37+Z37</f>
        <v>34514.9269313587</v>
      </c>
      <c r="AB37" s="41" t="n">
        <f aca="false">IF(G37&gt;0,S37/G37*1000,"n.a.")</f>
        <v>1.10746465217964</v>
      </c>
    </row>
    <row r="38" customFormat="false" ht="15" hidden="false" customHeight="false" outlineLevel="0" collapsed="false">
      <c r="A38" s="38" t="str">
        <f aca="false">B38&amp;"|"&amp;C38</f>
        <v>Conforto|ONCO</v>
      </c>
      <c r="B38" s="21" t="s">
        <v>299</v>
      </c>
      <c r="C38" s="9" t="s">
        <v>196</v>
      </c>
      <c r="D38" s="38" t="str">
        <f aca="false">INDEX(Cov_Nome,MATCH(C38,Cov_Cod,0))</f>
        <v>Doenças Graves — Oncologia</v>
      </c>
      <c r="E38" s="38" t="str">
        <f aca="false">INDEX(Cov_Grupo,MATCH(C38,Cov_Cod,0))</f>
        <v>Extensão</v>
      </c>
      <c r="F38" s="37" t="s">
        <v>297</v>
      </c>
      <c r="G38" s="35" t="n">
        <v>20000000</v>
      </c>
      <c r="H38" s="41" t="n">
        <f aca="false">INDEX(Cov_Lambda,MATCH(C38,Cov_Cod,0))</f>
        <v>0.00055</v>
      </c>
      <c r="I38" s="46" t="n">
        <f aca="false">INDEX(Cov_Mu,MATCH(C38,Cov_Cod,0))</f>
        <v>18400000</v>
      </c>
      <c r="J38" s="41" t="n">
        <f aca="false">IF(INDEX(Cov_FR,MATCH(C38,Cov_Cod,0))="S",INDEX(PF_Factor,MATCH("SAU|"&amp;B38,PF_Key,0)),1)</f>
        <v>1</v>
      </c>
      <c r="K38" s="46" t="n">
        <f aca="false">IF(C38="HOSP_INT",los_int,IF(C38="HOSP_CIR",los_cir,0))*MAX(0,room_ref*J38-INDEX(PF_Room,MATCH("SAU|"&amp;B38,PF_Key,0)))</f>
        <v>0</v>
      </c>
      <c r="L38" s="46" t="n">
        <f aca="false">MAX(0,I38*J38-K38)</f>
        <v>18400000</v>
      </c>
      <c r="M38" s="41" t="n">
        <f aca="false">f_trend</f>
        <v>1.182194</v>
      </c>
      <c r="N38" s="46" t="n">
        <f aca="false">H38*L38*M38/(1-EXP(-H38))</f>
        <v>21758352.0499812</v>
      </c>
      <c r="O38" s="47" t="n">
        <f aca="false">INDEX(Cov_CV,MATCH(C38,Cov_Cod,0))</f>
        <v>1</v>
      </c>
      <c r="P38" s="41" t="n">
        <f aca="false">SQRT(LN(1+O38^2))</f>
        <v>0.832554611157698</v>
      </c>
      <c r="Q38" s="41" t="n">
        <f aca="false">LN(N38)-P38^2/2</f>
        <v>16.548934653807</v>
      </c>
      <c r="R38" s="41" t="n">
        <f aca="false">IF(G38&lt;=0,1,NORMSDIST((LN(G38)-Q38-P38^2)/P38)+G38/N38*(1-NORMSDIST((LN(G38)-Q38)/P38)))</f>
        <v>0.648348988832961</v>
      </c>
      <c r="S38" s="13" t="n">
        <f aca="false">IF(F38="—",0,H38*L38*M38*R38)</f>
        <v>7756.71975918447</v>
      </c>
      <c r="T38" s="46" t="n">
        <f aca="false">S38*sig_SAU</f>
        <v>620.537580734757</v>
      </c>
      <c r="U38" s="13" t="n">
        <f aca="false">S38+T38</f>
        <v>8377.25733991922</v>
      </c>
      <c r="V38" s="13" t="n">
        <f aca="false">U38/(1-load_SAU)</f>
        <v>11967.5104855989</v>
      </c>
      <c r="W38" s="46" t="n">
        <f aca="false">V38*ea_SAU</f>
        <v>1555.77636312786</v>
      </c>
      <c r="X38" s="46" t="n">
        <f aca="false">V38*ec_SAU</f>
        <v>1436.10125827187</v>
      </c>
      <c r="Y38" s="46" t="n">
        <f aca="false">V38*m_SAU</f>
        <v>598.375524279945</v>
      </c>
      <c r="Z38" s="46" t="n">
        <f aca="false">V38*tax_SAU</f>
        <v>119.675104855989</v>
      </c>
      <c r="AA38" s="19" t="n">
        <f aca="false">V38+Z38</f>
        <v>12087.1855904549</v>
      </c>
      <c r="AB38" s="41" t="n">
        <f aca="false">IF(G38&gt;0,S38/G38*1000,"n.a.")</f>
        <v>0.387835987959223</v>
      </c>
    </row>
    <row r="39" customFormat="false" ht="15" hidden="false" customHeight="false" outlineLevel="0" collapsed="false">
      <c r="A39" s="38" t="str">
        <f aca="false">B39&amp;"|"&amp;C39</f>
        <v>Conforto|HEMO</v>
      </c>
      <c r="B39" s="21" t="s">
        <v>299</v>
      </c>
      <c r="C39" s="9" t="s">
        <v>200</v>
      </c>
      <c r="D39" s="38" t="str">
        <f aca="false">INDEX(Cov_Nome,MATCH(C39,Cov_Cod,0))</f>
        <v>Doenças Crónicas — Hemodiálise</v>
      </c>
      <c r="E39" s="38" t="str">
        <f aca="false">INDEX(Cov_Grupo,MATCH(C39,Cov_Cod,0))</f>
        <v>Extensão</v>
      </c>
      <c r="F39" s="37" t="s">
        <v>297</v>
      </c>
      <c r="G39" s="35" t="n">
        <v>12000000</v>
      </c>
      <c r="H39" s="41" t="n">
        <f aca="false">INDEX(Cov_Lambda,MATCH(C39,Cov_Cod,0))</f>
        <v>0.00025</v>
      </c>
      <c r="I39" s="46" t="n">
        <f aca="false">INDEX(Cov_Mu,MATCH(C39,Cov_Cod,0))</f>
        <v>14352000</v>
      </c>
      <c r="J39" s="41" t="n">
        <f aca="false">IF(INDEX(Cov_FR,MATCH(C39,Cov_Cod,0))="S",INDEX(PF_Factor,MATCH("SAU|"&amp;B39,PF_Key,0)),1)</f>
        <v>1</v>
      </c>
      <c r="K39" s="46" t="n">
        <f aca="false">IF(C39="HOSP_INT",los_int,IF(C39="HOSP_CIR",los_cir,0))*MAX(0,room_ref*J39-INDEX(PF_Room,MATCH("SAU|"&amp;B39,PF_Key,0)))</f>
        <v>0</v>
      </c>
      <c r="L39" s="46" t="n">
        <f aca="false">MAX(0,I39*J39-K39)</f>
        <v>14352000</v>
      </c>
      <c r="M39" s="41" t="n">
        <f aca="false">f_trend</f>
        <v>1.182194</v>
      </c>
      <c r="N39" s="46" t="n">
        <f aca="false">H39*L39*M39/(1-EXP(-H39))</f>
        <v>16968969.2324074</v>
      </c>
      <c r="O39" s="47" t="n">
        <f aca="false">INDEX(Cov_CV,MATCH(C39,Cov_Cod,0))</f>
        <v>0.4</v>
      </c>
      <c r="P39" s="41" t="n">
        <f aca="false">SQRT(LN(1+O39^2))</f>
        <v>0.385253170159927</v>
      </c>
      <c r="Q39" s="41" t="n">
        <f aca="false">LN(N39)-P39^2/2</f>
        <v>16.5726868922294</v>
      </c>
      <c r="R39" s="41" t="n">
        <f aca="false">IF(G39&lt;=0,1,NORMSDIST((LN(G39)-Q39-P39^2)/P39)+G39/N39*(1-NORMSDIST((LN(G39)-Q39)/P39)))</f>
        <v>0.674965823218466</v>
      </c>
      <c r="S39" s="13" t="n">
        <f aca="false">IF(F39="—",0,H39*L39*M39*R39)</f>
        <v>2863.01068053318</v>
      </c>
      <c r="T39" s="46" t="n">
        <f aca="false">S39*sig_SAU</f>
        <v>229.040854442655</v>
      </c>
      <c r="U39" s="13" t="n">
        <f aca="false">S39+T39</f>
        <v>3092.05153497584</v>
      </c>
      <c r="V39" s="13" t="n">
        <f aca="false">U39/(1-load_SAU)</f>
        <v>4417.21647853691</v>
      </c>
      <c r="W39" s="46" t="n">
        <f aca="false">V39*ea_SAU</f>
        <v>574.238142209799</v>
      </c>
      <c r="X39" s="46" t="n">
        <f aca="false">V39*ec_SAU</f>
        <v>530.065977424429</v>
      </c>
      <c r="Y39" s="46" t="n">
        <f aca="false">V39*m_SAU</f>
        <v>220.860823926846</v>
      </c>
      <c r="Z39" s="46" t="n">
        <f aca="false">V39*tax_SAU</f>
        <v>44.1721647853691</v>
      </c>
      <c r="AA39" s="19" t="n">
        <f aca="false">V39+Z39</f>
        <v>4461.38864332228</v>
      </c>
      <c r="AB39" s="41" t="n">
        <f aca="false">IF(G39&gt;0,S39/G39*1000,"n.a.")</f>
        <v>0.238584223377765</v>
      </c>
    </row>
    <row r="40" customFormat="false" ht="15" hidden="false" customHeight="false" outlineLevel="0" collapsed="false">
      <c r="A40" s="32" t="str">
        <f aca="false">B40&amp;"|"&amp;C40</f>
        <v>Premium|HOSP_INT</v>
      </c>
      <c r="B40" s="16" t="s">
        <v>300</v>
      </c>
      <c r="C40" s="7" t="s">
        <v>132</v>
      </c>
      <c r="D40" s="32" t="str">
        <f aca="false">INDEX(Cov_Nome,MATCH(C40,Cov_Cod,0))</f>
        <v>Internamento Hospitalar Médico (incl. malária grave)</v>
      </c>
      <c r="E40" s="32" t="str">
        <f aca="false">INDEX(Cov_Grupo,MATCH(C40,Cov_Cod,0))</f>
        <v>Principal</v>
      </c>
      <c r="F40" s="37" t="s">
        <v>296</v>
      </c>
      <c r="G40" s="35" t="n">
        <v>40000000</v>
      </c>
      <c r="H40" s="40" t="n">
        <f aca="false">INDEX(Cov_Lambda,MATCH(C40,Cov_Cod,0))</f>
        <v>0.045</v>
      </c>
      <c r="I40" s="18" t="n">
        <f aca="false">INDEX(Cov_Mu,MATCH(C40,Cov_Cod,0))</f>
        <v>854500</v>
      </c>
      <c r="J40" s="40" t="n">
        <f aca="false">IF(INDEX(Cov_FR,MATCH(C40,Cov_Cod,0))="S",INDEX(PF_Factor,MATCH("SAU|"&amp;B40,PF_Key,0)),1)</f>
        <v>1.3</v>
      </c>
      <c r="K40" s="18" t="n">
        <f aca="false">IF(C40="HOSP_INT",los_int,IF(C40="HOSP_CIR",los_cir,0))*MAX(0,room_ref*J40-INDEX(PF_Room,MATCH("SAU|"&amp;B40,PF_Key,0)))</f>
        <v>0</v>
      </c>
      <c r="L40" s="18" t="n">
        <f aca="false">MAX(0,I40*J40-K40)</f>
        <v>1110850</v>
      </c>
      <c r="M40" s="40" t="n">
        <f aca="false">f_trend</f>
        <v>1.182194</v>
      </c>
      <c r="N40" s="18" t="n">
        <f aca="false">H40*L40*M40/(1-EXP(-H40))</f>
        <v>1343009.71131588</v>
      </c>
      <c r="O40" s="44" t="n">
        <f aca="false">INDEX(Cov_CV,MATCH(C40,Cov_Cod,0))</f>
        <v>1.5</v>
      </c>
      <c r="P40" s="40" t="n">
        <f aca="false">SQRT(LN(1+O40^2))</f>
        <v>1.08565878449062</v>
      </c>
      <c r="Q40" s="40" t="n">
        <f aca="false">LN(N40)-P40^2/2</f>
        <v>13.5210962083701</v>
      </c>
      <c r="R40" s="40" t="n">
        <f aca="false">IF(G40&lt;=0,1,NORMSDIST((LN(G40)-Q40-P40^2)/P40)+G40/N40*(1-NORMSDIST((LN(G40)-Q40)/P40)))</f>
        <v>0.998733775013588</v>
      </c>
      <c r="S40" s="14" t="n">
        <f aca="false">IF(F40="—",0,H40*L40*M40*R40)</f>
        <v>59020.9806302728</v>
      </c>
      <c r="T40" s="18" t="n">
        <f aca="false">S40*sig_SAU</f>
        <v>4721.67845042182</v>
      </c>
      <c r="U40" s="14" t="n">
        <f aca="false">S40+T40</f>
        <v>63742.6590806946</v>
      </c>
      <c r="V40" s="14" t="n">
        <f aca="false">U40/(1-load_SAU)</f>
        <v>91060.9415438494</v>
      </c>
      <c r="W40" s="18" t="n">
        <f aca="false">V40*ea_SAU</f>
        <v>11837.9224007004</v>
      </c>
      <c r="X40" s="18" t="n">
        <f aca="false">V40*ec_SAU</f>
        <v>10927.3129852619</v>
      </c>
      <c r="Y40" s="18" t="n">
        <f aca="false">V40*m_SAU</f>
        <v>4553.04707719247</v>
      </c>
      <c r="Z40" s="18" t="n">
        <f aca="false">V40*tax_SAU</f>
        <v>910.609415438494</v>
      </c>
      <c r="AA40" s="19" t="n">
        <f aca="false">V40+Z40</f>
        <v>91971.5509592879</v>
      </c>
      <c r="AB40" s="40" t="n">
        <f aca="false">IF(G40&gt;0,S40/G40*1000,"n.a.")</f>
        <v>1.47552451575682</v>
      </c>
    </row>
    <row r="41" customFormat="false" ht="15" hidden="false" customHeight="false" outlineLevel="0" collapsed="false">
      <c r="A41" s="32" t="str">
        <f aca="false">B41&amp;"|"&amp;C41</f>
        <v>Premium|HOSP_CIR</v>
      </c>
      <c r="B41" s="16" t="s">
        <v>300</v>
      </c>
      <c r="C41" s="7" t="s">
        <v>139</v>
      </c>
      <c r="D41" s="32" t="str">
        <f aca="false">INDEX(Cov_Nome,MATCH(C41,Cov_Cod,0))</f>
        <v>Cirurgia (com internamento e de ambulatório)</v>
      </c>
      <c r="E41" s="32" t="str">
        <f aca="false">INDEX(Cov_Grupo,MATCH(C41,Cov_Cod,0))</f>
        <v>Principal</v>
      </c>
      <c r="F41" s="37" t="s">
        <v>296</v>
      </c>
      <c r="G41" s="35" t="n">
        <v>40000000</v>
      </c>
      <c r="H41" s="40" t="n">
        <f aca="false">INDEX(Cov_Lambda,MATCH(C41,Cov_Cod,0))</f>
        <v>0.024</v>
      </c>
      <c r="I41" s="18" t="n">
        <f aca="false">INDEX(Cov_Mu,MATCH(C41,Cov_Cod,0))</f>
        <v>2032500</v>
      </c>
      <c r="J41" s="40" t="n">
        <f aca="false">IF(INDEX(Cov_FR,MATCH(C41,Cov_Cod,0))="S",INDEX(PF_Factor,MATCH("SAU|"&amp;B41,PF_Key,0)),1)</f>
        <v>1.3</v>
      </c>
      <c r="K41" s="18" t="n">
        <f aca="false">IF(C41="HOSP_INT",los_int,IF(C41="HOSP_CIR",los_cir,0))*MAX(0,room_ref*J41-INDEX(PF_Room,MATCH("SAU|"&amp;B41,PF_Key,0)))</f>
        <v>0</v>
      </c>
      <c r="L41" s="18" t="n">
        <f aca="false">MAX(0,I41*J41-K41)</f>
        <v>2642250</v>
      </c>
      <c r="M41" s="40" t="n">
        <f aca="false">f_trend</f>
        <v>1.182194</v>
      </c>
      <c r="N41" s="18" t="n">
        <f aca="false">H41*L41*M41/(1-EXP(-H41))</f>
        <v>3161285.85551927</v>
      </c>
      <c r="O41" s="44" t="n">
        <f aca="false">INDEX(Cov_CV,MATCH(C41,Cov_Cod,0))</f>
        <v>1.3</v>
      </c>
      <c r="P41" s="40" t="n">
        <f aca="false">SQRT(LN(1+O41^2))</f>
        <v>0.994756851503797</v>
      </c>
      <c r="Q41" s="40" t="n">
        <f aca="false">LN(N41)-P41^2/2</f>
        <v>14.4717188222918</v>
      </c>
      <c r="R41" s="40" t="n">
        <f aca="false">IF(G41&lt;=0,1,NORMSDIST((LN(G41)-Q41-P41^2)/P41)+G41/N41*(1-NORMSDIST((LN(G41)-Q41)/P41)))</f>
        <v>0.994549933427824</v>
      </c>
      <c r="S41" s="14" t="n">
        <f aca="false">IF(F41="—",0,H41*L41*M41*R41)</f>
        <v>74559.0716310182</v>
      </c>
      <c r="T41" s="18" t="n">
        <f aca="false">S41*sig_SAU</f>
        <v>5964.72573048146</v>
      </c>
      <c r="U41" s="14" t="n">
        <f aca="false">S41+T41</f>
        <v>80523.7973614997</v>
      </c>
      <c r="V41" s="14" t="n">
        <f aca="false">U41/(1-load_SAU)</f>
        <v>115033.996230714</v>
      </c>
      <c r="W41" s="18" t="n">
        <f aca="false">V41*ea_SAU</f>
        <v>14954.4195099928</v>
      </c>
      <c r="X41" s="18" t="n">
        <f aca="false">V41*ec_SAU</f>
        <v>13804.0795476857</v>
      </c>
      <c r="Y41" s="18" t="n">
        <f aca="false">V41*m_SAU</f>
        <v>5751.69981153569</v>
      </c>
      <c r="Z41" s="18" t="n">
        <f aca="false">V41*tax_SAU</f>
        <v>1150.33996230714</v>
      </c>
      <c r="AA41" s="19" t="n">
        <f aca="false">V41+Z41</f>
        <v>116184.336193021</v>
      </c>
      <c r="AB41" s="40" t="n">
        <f aca="false">IF(G41&gt;0,S41/G41*1000,"n.a.")</f>
        <v>1.86397679077546</v>
      </c>
    </row>
    <row r="42" customFormat="false" ht="15" hidden="false" customHeight="false" outlineLevel="0" collapsed="false">
      <c r="A42" s="32" t="str">
        <f aca="false">B42&amp;"|"&amp;C42</f>
        <v>Premium|HOSP_UCI</v>
      </c>
      <c r="B42" s="16" t="s">
        <v>300</v>
      </c>
      <c r="C42" s="7" t="s">
        <v>143</v>
      </c>
      <c r="D42" s="32" t="str">
        <f aca="false">INDEX(Cov_Nome,MATCH(C42,Cov_Cod,0))</f>
        <v>Cuidados Intensivos (UCI)</v>
      </c>
      <c r="E42" s="32" t="str">
        <f aca="false">INDEX(Cov_Grupo,MATCH(C42,Cov_Cod,0))</f>
        <v>Principal</v>
      </c>
      <c r="F42" s="37" t="s">
        <v>296</v>
      </c>
      <c r="G42" s="45" t="n">
        <f aca="false">INDEX(PF_UCI,MATCH("SAU|"&amp;B42,PF_Key,0))</f>
        <v>15000000</v>
      </c>
      <c r="H42" s="40" t="n">
        <f aca="false">INDEX(Cov_Lambda,MATCH(C42,Cov_Cod,0))</f>
        <v>0.0035</v>
      </c>
      <c r="I42" s="18" t="n">
        <f aca="false">INDEX(Cov_Mu,MATCH(C42,Cov_Cod,0))</f>
        <v>2835000</v>
      </c>
      <c r="J42" s="40" t="n">
        <f aca="false">IF(INDEX(Cov_FR,MATCH(C42,Cov_Cod,0))="S",INDEX(PF_Factor,MATCH("SAU|"&amp;B42,PF_Key,0)),1)</f>
        <v>1.3</v>
      </c>
      <c r="K42" s="18" t="n">
        <f aca="false">IF(C42="HOSP_INT",los_int,IF(C42="HOSP_CIR",los_cir,0))*MAX(0,room_ref*J42-INDEX(PF_Room,MATCH("SAU|"&amp;B42,PF_Key,0)))</f>
        <v>0</v>
      </c>
      <c r="L42" s="18" t="n">
        <f aca="false">MAX(0,I42*J42-K42)</f>
        <v>3685500</v>
      </c>
      <c r="M42" s="40" t="n">
        <f aca="false">f_trend</f>
        <v>1.182194</v>
      </c>
      <c r="N42" s="18" t="n">
        <f aca="false">H42*L42*M42/(1-EXP(-H42))</f>
        <v>4364605.14272264</v>
      </c>
      <c r="O42" s="44" t="n">
        <f aca="false">INDEX(Cov_CV,MATCH(C42,Cov_Cod,0))</f>
        <v>1.2</v>
      </c>
      <c r="P42" s="40" t="n">
        <f aca="false">SQRT(LN(1+O42^2))</f>
        <v>0.944456478248262</v>
      </c>
      <c r="Q42" s="40" t="n">
        <f aca="false">LN(N42)-P42^2/2</f>
        <v>14.8430392636542</v>
      </c>
      <c r="R42" s="40" t="n">
        <f aca="false">IF(G42&lt;=0,1,NORMSDIST((LN(G42)-Q42-P42^2)/P42)+G42/N42*(1-NORMSDIST((LN(G42)-Q42)/P42)))</f>
        <v>0.927302233927946</v>
      </c>
      <c r="S42" s="14" t="n">
        <f aca="false">IF(F42="—",0,H42*L42*M42*R42)</f>
        <v>14140.8174807043</v>
      </c>
      <c r="T42" s="18" t="n">
        <f aca="false">S42*sig_SAU</f>
        <v>1131.26539845634</v>
      </c>
      <c r="U42" s="14" t="n">
        <f aca="false">S42+T42</f>
        <v>15272.0828791606</v>
      </c>
      <c r="V42" s="14" t="n">
        <f aca="false">U42/(1-load_SAU)</f>
        <v>21817.2612559438</v>
      </c>
      <c r="W42" s="18" t="n">
        <f aca="false">V42*ea_SAU</f>
        <v>2836.24396327269</v>
      </c>
      <c r="X42" s="18" t="n">
        <f aca="false">V42*ec_SAU</f>
        <v>2618.07135071325</v>
      </c>
      <c r="Y42" s="18" t="n">
        <f aca="false">V42*m_SAU</f>
        <v>1090.86306279719</v>
      </c>
      <c r="Z42" s="18" t="n">
        <f aca="false">V42*tax_SAU</f>
        <v>218.172612559438</v>
      </c>
      <c r="AA42" s="19" t="n">
        <f aca="false">V42+Z42</f>
        <v>22035.4338685032</v>
      </c>
      <c r="AB42" s="40" t="n">
        <f aca="false">IF(G42&gt;0,S42/G42*1000,"n.a.")</f>
        <v>0.942721165380287</v>
      </c>
    </row>
    <row r="43" customFormat="false" ht="15" hidden="false" customHeight="false" outlineLevel="0" collapsed="false">
      <c r="A43" s="32" t="str">
        <f aca="false">B43&amp;"|"&amp;C43</f>
        <v>Premium|AMB_CONS</v>
      </c>
      <c r="B43" s="16" t="s">
        <v>300</v>
      </c>
      <c r="C43" s="7" t="s">
        <v>147</v>
      </c>
      <c r="D43" s="32" t="str">
        <f aca="false">INDEX(Cov_Nome,MATCH(C43,Cov_Cod,0))</f>
        <v>Consultas de Clínica Geral e Especialidade (incl. teleconsulta)</v>
      </c>
      <c r="E43" s="32" t="str">
        <f aca="false">INDEX(Cov_Grupo,MATCH(C43,Cov_Cod,0))</f>
        <v>Principal</v>
      </c>
      <c r="F43" s="37" t="s">
        <v>296</v>
      </c>
      <c r="G43" s="35" t="n">
        <v>8000000</v>
      </c>
      <c r="H43" s="40" t="n">
        <f aca="false">INDEX(Cov_Lambda,MATCH(C43,Cov_Cod,0))</f>
        <v>2.6</v>
      </c>
      <c r="I43" s="18" t="n">
        <f aca="false">INDEX(Cov_Mu,MATCH(C43,Cov_Cod,0))</f>
        <v>24000</v>
      </c>
      <c r="J43" s="40" t="n">
        <f aca="false">IF(INDEX(Cov_FR,MATCH(C43,Cov_Cod,0))="S",INDEX(PF_Factor,MATCH("SAU|"&amp;B43,PF_Key,0)),1)</f>
        <v>1.3</v>
      </c>
      <c r="K43" s="18" t="n">
        <f aca="false">IF(C43="HOSP_INT",los_int,IF(C43="HOSP_CIR",los_cir,0))*MAX(0,room_ref*J43-INDEX(PF_Room,MATCH("SAU|"&amp;B43,PF_Key,0)))</f>
        <v>0</v>
      </c>
      <c r="L43" s="18" t="n">
        <f aca="false">MAX(0,I43*J43-K43)</f>
        <v>31200</v>
      </c>
      <c r="M43" s="40" t="n">
        <f aca="false">f_trend</f>
        <v>1.182194</v>
      </c>
      <c r="N43" s="18" t="n">
        <f aca="false">H43*L43*M43/(1-EXP(-H43))</f>
        <v>103593.864259611</v>
      </c>
      <c r="O43" s="44" t="n">
        <f aca="false">INDEX(Cov_CV,MATCH(C43,Cov_Cod,0))</f>
        <v>1</v>
      </c>
      <c r="P43" s="40" t="n">
        <f aca="false">SQRT(LN(1+O43^2))</f>
        <v>0.832554611157698</v>
      </c>
      <c r="Q43" s="40" t="n">
        <f aca="false">LN(N43)-P43^2/2</f>
        <v>11.2016597914803</v>
      </c>
      <c r="R43" s="40" t="n">
        <f aca="false">IF(G43&lt;=0,1,NORMSDIST((LN(G43)-Q43-P43^2)/P43)+G43/N43*(1-NORMSDIST((LN(G43)-Q43)/P43)))</f>
        <v>0.999999892235074</v>
      </c>
      <c r="S43" s="14" t="n">
        <f aca="false">IF(F43="—",0,H43*L43*M43*R43)</f>
        <v>95899.5669453891</v>
      </c>
      <c r="T43" s="18" t="n">
        <f aca="false">S43*sig_SAU</f>
        <v>7671.96535563113</v>
      </c>
      <c r="U43" s="14" t="n">
        <f aca="false">S43+T43</f>
        <v>103571.53230102</v>
      </c>
      <c r="V43" s="14" t="n">
        <f aca="false">U43/(1-load_SAU)</f>
        <v>147959.3318586</v>
      </c>
      <c r="W43" s="18" t="n">
        <f aca="false">V43*ea_SAU</f>
        <v>19234.7131416181</v>
      </c>
      <c r="X43" s="18" t="n">
        <f aca="false">V43*ec_SAU</f>
        <v>17755.119823032</v>
      </c>
      <c r="Y43" s="18" t="n">
        <f aca="false">V43*m_SAU</f>
        <v>7397.96659293002</v>
      </c>
      <c r="Z43" s="18" t="n">
        <f aca="false">V43*tax_SAU</f>
        <v>1479.593318586</v>
      </c>
      <c r="AA43" s="19" t="n">
        <f aca="false">V43+Z43</f>
        <v>149438.925177186</v>
      </c>
      <c r="AB43" s="40" t="n">
        <f aca="false">IF(G43&gt;0,S43/G43*1000,"n.a.")</f>
        <v>11.9874458681736</v>
      </c>
    </row>
    <row r="44" customFormat="false" ht="15" hidden="false" customHeight="false" outlineLevel="0" collapsed="false">
      <c r="A44" s="32" t="str">
        <f aca="false">B44&amp;"|"&amp;C44</f>
        <v>Premium|AMB_MCDT</v>
      </c>
      <c r="B44" s="16" t="s">
        <v>300</v>
      </c>
      <c r="C44" s="7" t="s">
        <v>151</v>
      </c>
      <c r="D44" s="32" t="str">
        <f aca="false">INDEX(Cov_Nome,MATCH(C44,Cov_Cod,0))</f>
        <v>MCDT — Exames, Análises e Imagiologia</v>
      </c>
      <c r="E44" s="32" t="str">
        <f aca="false">INDEX(Cov_Grupo,MATCH(C44,Cov_Cod,0))</f>
        <v>Principal</v>
      </c>
      <c r="F44" s="37" t="s">
        <v>296</v>
      </c>
      <c r="G44" s="35" t="n">
        <v>8000000</v>
      </c>
      <c r="H44" s="40" t="n">
        <f aca="false">INDEX(Cov_Lambda,MATCH(C44,Cov_Cod,0))</f>
        <v>3.8</v>
      </c>
      <c r="I44" s="18" t="n">
        <f aca="false">INDEX(Cov_Mu,MATCH(C44,Cov_Cod,0))</f>
        <v>14600</v>
      </c>
      <c r="J44" s="40" t="n">
        <f aca="false">IF(INDEX(Cov_FR,MATCH(C44,Cov_Cod,0))="S",INDEX(PF_Factor,MATCH("SAU|"&amp;B44,PF_Key,0)),1)</f>
        <v>1.3</v>
      </c>
      <c r="K44" s="18" t="n">
        <f aca="false">IF(C44="HOSP_INT",los_int,IF(C44="HOSP_CIR",los_cir,0))*MAX(0,room_ref*J44-INDEX(PF_Room,MATCH("SAU|"&amp;B44,PF_Key,0)))</f>
        <v>0</v>
      </c>
      <c r="L44" s="18" t="n">
        <f aca="false">MAX(0,I44*J44-K44)</f>
        <v>18980</v>
      </c>
      <c r="M44" s="40" t="n">
        <f aca="false">f_trend</f>
        <v>1.182194</v>
      </c>
      <c r="N44" s="18" t="n">
        <f aca="false">H44*L44*M44/(1-EXP(-H44))</f>
        <v>87215.6412691207</v>
      </c>
      <c r="O44" s="44" t="n">
        <f aca="false">INDEX(Cov_CV,MATCH(C44,Cov_Cod,0))</f>
        <v>1.5</v>
      </c>
      <c r="P44" s="40" t="n">
        <f aca="false">SQRT(LN(1+O44^2))</f>
        <v>1.08565878449062</v>
      </c>
      <c r="Q44" s="40" t="n">
        <f aca="false">LN(N44)-P44^2/2</f>
        <v>10.7868114679933</v>
      </c>
      <c r="R44" s="40" t="n">
        <f aca="false">IF(G44&lt;=0,1,NORMSDIST((LN(G44)-Q44-P44^2)/P44)+G44/N44*(1-NORMSDIST((LN(G44)-Q44)/P44)))</f>
        <v>0.99996875439637</v>
      </c>
      <c r="S44" s="14" t="n">
        <f aca="false">IF(F44="—",0,H44*L44*M44*R44)</f>
        <v>85261.8959133528</v>
      </c>
      <c r="T44" s="18" t="n">
        <f aca="false">S44*sig_SAU</f>
        <v>6820.95167306822</v>
      </c>
      <c r="U44" s="14" t="n">
        <f aca="false">S44+T44</f>
        <v>92082.847586421</v>
      </c>
      <c r="V44" s="14" t="n">
        <f aca="false">U44/(1-load_SAU)</f>
        <v>131546.925123459</v>
      </c>
      <c r="W44" s="18" t="n">
        <f aca="false">V44*ea_SAU</f>
        <v>17101.1002660496</v>
      </c>
      <c r="X44" s="18" t="n">
        <f aca="false">V44*ec_SAU</f>
        <v>15785.631014815</v>
      </c>
      <c r="Y44" s="18" t="n">
        <f aca="false">V44*m_SAU</f>
        <v>6577.34625617293</v>
      </c>
      <c r="Z44" s="18" t="n">
        <f aca="false">V44*tax_SAU</f>
        <v>1315.46925123459</v>
      </c>
      <c r="AA44" s="19" t="n">
        <f aca="false">V44+Z44</f>
        <v>132862.394374693</v>
      </c>
      <c r="AB44" s="40" t="n">
        <f aca="false">IF(G44&gt;0,S44/G44*1000,"n.a.")</f>
        <v>10.6577369891691</v>
      </c>
    </row>
    <row r="45" customFormat="false" ht="15" hidden="false" customHeight="false" outlineLevel="0" collapsed="false">
      <c r="A45" s="32" t="str">
        <f aca="false">B45&amp;"|"&amp;C45</f>
        <v>Premium|MAL</v>
      </c>
      <c r="B45" s="16" t="s">
        <v>300</v>
      </c>
      <c r="C45" s="7" t="s">
        <v>155</v>
      </c>
      <c r="D45" s="32" t="str">
        <f aca="false">INDEX(Cov_Nome,MATCH(C45,Cov_Cod,0))</f>
        <v>Malária e Doenças Endémicas (ambulatório)</v>
      </c>
      <c r="E45" s="32" t="str">
        <f aca="false">INDEX(Cov_Grupo,MATCH(C45,Cov_Cod,0))</f>
        <v>Principal</v>
      </c>
      <c r="F45" s="37" t="s">
        <v>296</v>
      </c>
      <c r="G45" s="35" t="n">
        <v>8000000</v>
      </c>
      <c r="H45" s="40" t="n">
        <f aca="false">INDEX(Cov_Lambda,MATCH(C45,Cov_Cod,0))</f>
        <v>0.3</v>
      </c>
      <c r="I45" s="18" t="n">
        <f aca="false">INDEX(Cov_Mu,MATCH(C45,Cov_Cod,0))</f>
        <v>36500</v>
      </c>
      <c r="J45" s="40" t="n">
        <f aca="false">IF(INDEX(Cov_FR,MATCH(C45,Cov_Cod,0))="S",INDEX(PF_Factor,MATCH("SAU|"&amp;B45,PF_Key,0)),1)</f>
        <v>1.3</v>
      </c>
      <c r="K45" s="18" t="n">
        <f aca="false">IF(C45="HOSP_INT",los_int,IF(C45="HOSP_CIR",los_cir,0))*MAX(0,room_ref*J45-INDEX(PF_Room,MATCH("SAU|"&amp;B45,PF_Key,0)))</f>
        <v>0</v>
      </c>
      <c r="L45" s="18" t="n">
        <f aca="false">MAX(0,I45*J45-K45)</f>
        <v>47450</v>
      </c>
      <c r="M45" s="40" t="n">
        <f aca="false">f_trend</f>
        <v>1.182194</v>
      </c>
      <c r="N45" s="18" t="n">
        <f aca="false">H45*L45*M45/(1-EXP(-H45))</f>
        <v>64929.4546640723</v>
      </c>
      <c r="O45" s="44" t="n">
        <f aca="false">INDEX(Cov_CV,MATCH(C45,Cov_Cod,0))</f>
        <v>0.8</v>
      </c>
      <c r="P45" s="40" t="n">
        <f aca="false">SQRT(LN(1+O45^2))</f>
        <v>0.703346459318668</v>
      </c>
      <c r="Q45" s="40" t="n">
        <f aca="false">LN(N45)-P45^2/2</f>
        <v>10.8337085257208</v>
      </c>
      <c r="R45" s="40" t="n">
        <f aca="false">IF(G45&lt;=0,1,NORMSDIST((LN(G45)-Q45-P45^2)/P45)+G45/N45*(1-NORMSDIST((LN(G45)-Q45)/P45)))</f>
        <v>0.999999999996036</v>
      </c>
      <c r="S45" s="14" t="n">
        <f aca="false">IF(F45="—",0,H45*L45*M45*R45)</f>
        <v>16828.5315899333</v>
      </c>
      <c r="T45" s="18" t="n">
        <f aca="false">S45*sig_SAU</f>
        <v>1346.28252719466</v>
      </c>
      <c r="U45" s="14" t="n">
        <f aca="false">S45+T45</f>
        <v>18174.814117128</v>
      </c>
      <c r="V45" s="14" t="n">
        <f aca="false">U45/(1-load_SAU)</f>
        <v>25964.0201673256</v>
      </c>
      <c r="W45" s="18" t="n">
        <f aca="false">V45*ea_SAU</f>
        <v>3375.32262175233</v>
      </c>
      <c r="X45" s="18" t="n">
        <f aca="false">V45*ec_SAU</f>
        <v>3115.68242007908</v>
      </c>
      <c r="Y45" s="18" t="n">
        <f aca="false">V45*m_SAU</f>
        <v>1298.20100836628</v>
      </c>
      <c r="Z45" s="18" t="n">
        <f aca="false">V45*tax_SAU</f>
        <v>259.640201673256</v>
      </c>
      <c r="AA45" s="19" t="n">
        <f aca="false">V45+Z45</f>
        <v>26223.6603689989</v>
      </c>
      <c r="AB45" s="40" t="n">
        <f aca="false">IF(G45&gt;0,S45/G45*1000,"n.a.")</f>
        <v>2.10356644874166</v>
      </c>
    </row>
    <row r="46" customFormat="false" ht="15" hidden="false" customHeight="false" outlineLevel="0" collapsed="false">
      <c r="A46" s="32" t="str">
        <f aca="false">B46&amp;"|"&amp;C46</f>
        <v>Premium|MAT</v>
      </c>
      <c r="B46" s="16" t="s">
        <v>300</v>
      </c>
      <c r="C46" s="7" t="s">
        <v>159</v>
      </c>
      <c r="D46" s="32" t="str">
        <f aca="false">INDEX(Cov_Nome,MATCH(C46,Cov_Cod,0))</f>
        <v>Maternidade e Parto (Normal e Cesariana)</v>
      </c>
      <c r="E46" s="32" t="str">
        <f aca="false">INDEX(Cov_Grupo,MATCH(C46,Cov_Cod,0))</f>
        <v>Principal</v>
      </c>
      <c r="F46" s="37" t="s">
        <v>296</v>
      </c>
      <c r="G46" s="35" t="n">
        <v>2500000</v>
      </c>
      <c r="H46" s="40" t="n">
        <f aca="false">INDEX(Cov_Lambda,MATCH(C46,Cov_Cod,0))</f>
        <v>0.075</v>
      </c>
      <c r="I46" s="18" t="n">
        <f aca="false">INDEX(Cov_Mu,MATCH(C46,Cov_Cod,0))</f>
        <v>885640</v>
      </c>
      <c r="J46" s="40" t="n">
        <f aca="false">IF(INDEX(Cov_FR,MATCH(C46,Cov_Cod,0))="S",INDEX(PF_Factor,MATCH("SAU|"&amp;B46,PF_Key,0)),1)</f>
        <v>1.3</v>
      </c>
      <c r="K46" s="18" t="n">
        <f aca="false">IF(C46="HOSP_INT",los_int,IF(C46="HOSP_CIR",los_cir,0))*MAX(0,room_ref*J46-INDEX(PF_Room,MATCH("SAU|"&amp;B46,PF_Key,0)))</f>
        <v>0</v>
      </c>
      <c r="L46" s="18" t="n">
        <f aca="false">MAX(0,I46*J46-K46)</f>
        <v>1151332</v>
      </c>
      <c r="M46" s="40" t="n">
        <f aca="false">f_trend</f>
        <v>1.182194</v>
      </c>
      <c r="N46" s="18" t="n">
        <f aca="false">H46*L46*M46/(1-EXP(-H46))</f>
        <v>1412776.90402795</v>
      </c>
      <c r="O46" s="44" t="n">
        <f aca="false">INDEX(Cov_CV,MATCH(C46,Cov_Cod,0))</f>
        <v>0.5</v>
      </c>
      <c r="P46" s="40" t="n">
        <f aca="false">SQRT(LN(1+O46^2))</f>
        <v>0.472380727077439</v>
      </c>
      <c r="Q46" s="40" t="n">
        <f aca="false">LN(N46)-P46^2/2</f>
        <v>14.0494959853825</v>
      </c>
      <c r="R46" s="40" t="n">
        <f aca="false">IF(G46&lt;=0,1,NORMSDIST((LN(G46)-Q46-P46^2)/P46)+G46/N46*(1-NORMSDIST((LN(G46)-Q46)/P46)))</f>
        <v>0.965981608168131</v>
      </c>
      <c r="S46" s="14" t="n">
        <f aca="false">IF(F46="—",0,H46*L46*M46*R46)</f>
        <v>98609.6568543418</v>
      </c>
      <c r="T46" s="18" t="n">
        <f aca="false">S46*sig_SAU</f>
        <v>7888.77254834734</v>
      </c>
      <c r="U46" s="14" t="n">
        <f aca="false">S46+T46</f>
        <v>106498.429402689</v>
      </c>
      <c r="V46" s="14" t="n">
        <f aca="false">U46/(1-load_SAU)</f>
        <v>152140.613432413</v>
      </c>
      <c r="W46" s="18" t="n">
        <f aca="false">V46*ea_SAU</f>
        <v>19778.2797462137</v>
      </c>
      <c r="X46" s="18" t="n">
        <f aca="false">V46*ec_SAU</f>
        <v>18256.8736118896</v>
      </c>
      <c r="Y46" s="18" t="n">
        <f aca="false">V46*m_SAU</f>
        <v>7607.03067162065</v>
      </c>
      <c r="Z46" s="18" t="n">
        <f aca="false">V46*tax_SAU</f>
        <v>1521.40613432413</v>
      </c>
      <c r="AA46" s="19" t="n">
        <f aca="false">V46+Z46</f>
        <v>153662.019566737</v>
      </c>
      <c r="AB46" s="40" t="n">
        <f aca="false">IF(G46&gt;0,S46/G46*1000,"n.a.")</f>
        <v>39.4438627417367</v>
      </c>
    </row>
    <row r="47" customFormat="false" ht="15" hidden="false" customHeight="false" outlineLevel="0" collapsed="false">
      <c r="A47" s="32" t="str">
        <f aca="false">B47&amp;"|"&amp;C47</f>
        <v>Premium|URG</v>
      </c>
      <c r="B47" s="16" t="s">
        <v>300</v>
      </c>
      <c r="C47" s="7" t="s">
        <v>164</v>
      </c>
      <c r="D47" s="32" t="str">
        <f aca="false">INDEX(Cov_Nome,MATCH(C47,Cov_Cod,0))</f>
        <v>Urgência Hospitalar</v>
      </c>
      <c r="E47" s="32" t="str">
        <f aca="false">INDEX(Cov_Grupo,MATCH(C47,Cov_Cod,0))</f>
        <v>Principal</v>
      </c>
      <c r="F47" s="37" t="s">
        <v>296</v>
      </c>
      <c r="G47" s="35" t="n">
        <v>1000000</v>
      </c>
      <c r="H47" s="40" t="n">
        <f aca="false">INDEX(Cov_Lambda,MATCH(C47,Cov_Cod,0))</f>
        <v>0.42</v>
      </c>
      <c r="I47" s="18" t="n">
        <f aca="false">INDEX(Cov_Mu,MATCH(C47,Cov_Cod,0))</f>
        <v>43300</v>
      </c>
      <c r="J47" s="40" t="n">
        <f aca="false">IF(INDEX(Cov_FR,MATCH(C47,Cov_Cod,0))="S",INDEX(PF_Factor,MATCH("SAU|"&amp;B47,PF_Key,0)),1)</f>
        <v>1.3</v>
      </c>
      <c r="K47" s="18" t="n">
        <f aca="false">IF(C47="HOSP_INT",los_int,IF(C47="HOSP_CIR",los_cir,0))*MAX(0,room_ref*J47-INDEX(PF_Room,MATCH("SAU|"&amp;B47,PF_Key,0)))</f>
        <v>0</v>
      </c>
      <c r="L47" s="18" t="n">
        <f aca="false">MAX(0,I47*J47-K47)</f>
        <v>56290</v>
      </c>
      <c r="M47" s="40" t="n">
        <f aca="false">f_trend</f>
        <v>1.182194</v>
      </c>
      <c r="N47" s="18" t="n">
        <f aca="false">H47*L47*M47/(1-EXP(-H47))</f>
        <v>81495.6551623983</v>
      </c>
      <c r="O47" s="44" t="n">
        <f aca="false">INDEX(Cov_CV,MATCH(C47,Cov_Cod,0))</f>
        <v>1</v>
      </c>
      <c r="P47" s="40" t="n">
        <f aca="false">SQRT(LN(1+O47^2))</f>
        <v>0.832554611157698</v>
      </c>
      <c r="Q47" s="40" t="n">
        <f aca="false">LN(N47)-P47^2/2</f>
        <v>10.9617313966371</v>
      </c>
      <c r="R47" s="40" t="n">
        <f aca="false">IF(G47&lt;=0,1,NORMSDIST((LN(G47)-Q47-P47^2)/P47)+G47/N47*(1-NORMSDIST((LN(G47)-Q47)/P47)))</f>
        <v>0.999007118025563</v>
      </c>
      <c r="S47" s="14" t="n">
        <f aca="false">IF(F47="—",0,H47*L47*M47*R47)</f>
        <v>27921.4438581689</v>
      </c>
      <c r="T47" s="18" t="n">
        <f aca="false">S47*sig_SAU</f>
        <v>2233.71550865351</v>
      </c>
      <c r="U47" s="14" t="n">
        <f aca="false">S47+T47</f>
        <v>30155.1593668224</v>
      </c>
      <c r="V47" s="14" t="n">
        <f aca="false">U47/(1-load_SAU)</f>
        <v>43078.7990954606</v>
      </c>
      <c r="W47" s="18" t="n">
        <f aca="false">V47*ea_SAU</f>
        <v>5600.24388240988</v>
      </c>
      <c r="X47" s="18" t="n">
        <f aca="false">V47*ec_SAU</f>
        <v>5169.45589145527</v>
      </c>
      <c r="Y47" s="18" t="n">
        <f aca="false">V47*m_SAU</f>
        <v>2153.93995477303</v>
      </c>
      <c r="Z47" s="18" t="n">
        <f aca="false">V47*tax_SAU</f>
        <v>430.787990954606</v>
      </c>
      <c r="AA47" s="19" t="n">
        <f aca="false">V47+Z47</f>
        <v>43509.5870864152</v>
      </c>
      <c r="AB47" s="40" t="n">
        <f aca="false">IF(G47&gt;0,S47/G47*1000,"n.a.")</f>
        <v>27.9214438581689</v>
      </c>
    </row>
    <row r="48" customFormat="false" ht="15" hidden="false" customHeight="false" outlineLevel="0" collapsed="false">
      <c r="A48" s="32" t="str">
        <f aca="false">B48&amp;"|"&amp;C48</f>
        <v>Premium|AMBUL</v>
      </c>
      <c r="B48" s="16" t="s">
        <v>300</v>
      </c>
      <c r="C48" s="7" t="s">
        <v>167</v>
      </c>
      <c r="D48" s="32" t="str">
        <f aca="false">INDEX(Cov_Nome,MATCH(C48,Cov_Cod,0))</f>
        <v>Transporte em Ambulância / Emergência Médica</v>
      </c>
      <c r="E48" s="32" t="str">
        <f aca="false">INDEX(Cov_Grupo,MATCH(C48,Cov_Cod,0))</f>
        <v>Principal</v>
      </c>
      <c r="F48" s="37" t="s">
        <v>296</v>
      </c>
      <c r="G48" s="35" t="n">
        <v>600000</v>
      </c>
      <c r="H48" s="40" t="n">
        <f aca="false">INDEX(Cov_Lambda,MATCH(C48,Cov_Cod,0))</f>
        <v>0.018</v>
      </c>
      <c r="I48" s="18" t="n">
        <f aca="false">INDEX(Cov_Mu,MATCH(C48,Cov_Cod,0))</f>
        <v>76000</v>
      </c>
      <c r="J48" s="40" t="n">
        <f aca="false">IF(INDEX(Cov_FR,MATCH(C48,Cov_Cod,0))="S",INDEX(PF_Factor,MATCH("SAU|"&amp;B48,PF_Key,0)),1)</f>
        <v>1</v>
      </c>
      <c r="K48" s="18" t="n">
        <f aca="false">IF(C48="HOSP_INT",los_int,IF(C48="HOSP_CIR",los_cir,0))*MAX(0,room_ref*J48-INDEX(PF_Room,MATCH("SAU|"&amp;B48,PF_Key,0)))</f>
        <v>0</v>
      </c>
      <c r="L48" s="18" t="n">
        <f aca="false">MAX(0,I48*J48-K48)</f>
        <v>76000</v>
      </c>
      <c r="M48" s="40" t="n">
        <f aca="false">f_trend</f>
        <v>1.182194</v>
      </c>
      <c r="N48" s="18" t="n">
        <f aca="false">H48*L48*M48/(1-EXP(-H48))</f>
        <v>90657.7905449887</v>
      </c>
      <c r="O48" s="44" t="n">
        <f aca="false">INDEX(Cov_CV,MATCH(C48,Cov_Cod,0))</f>
        <v>0.6</v>
      </c>
      <c r="P48" s="40" t="n">
        <f aca="false">SQRT(LN(1+O48^2))</f>
        <v>0.554513029376191</v>
      </c>
      <c r="Q48" s="40" t="n">
        <f aca="false">LN(N48)-P48^2/2</f>
        <v>11.2611048035428</v>
      </c>
      <c r="R48" s="40" t="n">
        <f aca="false">IF(G48&lt;=0,1,NORMSDIST((LN(G48)-Q48-P48^2)/P48)+G48/N48*(1-NORMSDIST((LN(G48)-Q48)/P48)))</f>
        <v>0.999884226957617</v>
      </c>
      <c r="S48" s="14" t="n">
        <f aca="false">IF(F48="—",0,H48*L48*M48*R48)</f>
        <v>1617.05415904378</v>
      </c>
      <c r="T48" s="18" t="n">
        <f aca="false">S48*sig_SAU</f>
        <v>129.364332723502</v>
      </c>
      <c r="U48" s="14" t="n">
        <f aca="false">S48+T48</f>
        <v>1746.41849176728</v>
      </c>
      <c r="V48" s="14" t="n">
        <f aca="false">U48/(1-load_SAU)</f>
        <v>2494.88355966755</v>
      </c>
      <c r="W48" s="18" t="n">
        <f aca="false">V48*ea_SAU</f>
        <v>324.334862756781</v>
      </c>
      <c r="X48" s="18" t="n">
        <f aca="false">V48*ec_SAU</f>
        <v>299.386027160106</v>
      </c>
      <c r="Y48" s="18" t="n">
        <f aca="false">V48*m_SAU</f>
        <v>124.744177983377</v>
      </c>
      <c r="Z48" s="18" t="n">
        <f aca="false">V48*tax_SAU</f>
        <v>24.9488355966755</v>
      </c>
      <c r="AA48" s="19" t="n">
        <f aca="false">V48+Z48</f>
        <v>2519.83239526422</v>
      </c>
      <c r="AB48" s="40" t="n">
        <f aca="false">IF(G48&gt;0,S48/G48*1000,"n.a.")</f>
        <v>2.69509026507297</v>
      </c>
    </row>
    <row r="49" customFormat="false" ht="15" hidden="false" customHeight="false" outlineLevel="0" collapsed="false">
      <c r="A49" s="32" t="str">
        <f aca="false">B49&amp;"|"&amp;C49</f>
        <v>Premium|MED</v>
      </c>
      <c r="B49" s="16" t="s">
        <v>300</v>
      </c>
      <c r="C49" s="7" t="s">
        <v>172</v>
      </c>
      <c r="D49" s="32" t="str">
        <f aca="false">INDEX(Cov_Nome,MATCH(C49,Cov_Cod,0))</f>
        <v>Medicamentos em Ambulatório (Farmácia)</v>
      </c>
      <c r="E49" s="32" t="str">
        <f aca="false">INDEX(Cov_Grupo,MATCH(C49,Cov_Cod,0))</f>
        <v>Principal</v>
      </c>
      <c r="F49" s="37" t="s">
        <v>296</v>
      </c>
      <c r="G49" s="35" t="n">
        <v>1000000</v>
      </c>
      <c r="H49" s="40" t="n">
        <f aca="false">INDEX(Cov_Lambda,MATCH(C49,Cov_Cod,0))</f>
        <v>3.4</v>
      </c>
      <c r="I49" s="18" t="n">
        <f aca="false">INDEX(Cov_Mu,MATCH(C49,Cov_Cod,0))</f>
        <v>17400</v>
      </c>
      <c r="J49" s="40" t="n">
        <f aca="false">IF(INDEX(Cov_FR,MATCH(C49,Cov_Cod,0))="S",INDEX(PF_Factor,MATCH("SAU|"&amp;B49,PF_Key,0)),1)</f>
        <v>1</v>
      </c>
      <c r="K49" s="18" t="n">
        <f aca="false">IF(C49="HOSP_INT",los_int,IF(C49="HOSP_CIR",los_cir,0))*MAX(0,room_ref*J49-INDEX(PF_Room,MATCH("SAU|"&amp;B49,PF_Key,0)))</f>
        <v>0</v>
      </c>
      <c r="L49" s="18" t="n">
        <f aca="false">MAX(0,I49*J49-K49)</f>
        <v>17400</v>
      </c>
      <c r="M49" s="40" t="n">
        <f aca="false">f_trend</f>
        <v>1.182194</v>
      </c>
      <c r="N49" s="18" t="n">
        <f aca="false">H49*L49*M49/(1-EXP(-H49))</f>
        <v>72353.2619847265</v>
      </c>
      <c r="O49" s="44" t="n">
        <f aca="false">INDEX(Cov_CV,MATCH(C49,Cov_Cod,0))</f>
        <v>1.2</v>
      </c>
      <c r="P49" s="40" t="n">
        <f aca="false">SQRT(LN(1+O49^2))</f>
        <v>0.944456478248262</v>
      </c>
      <c r="Q49" s="40" t="n">
        <f aca="false">LN(N49)-P49^2/2</f>
        <v>10.7433167975652</v>
      </c>
      <c r="R49" s="40" t="n">
        <f aca="false">IF(G49&lt;=0,1,NORMSDIST((LN(G49)-Q49-P49^2)/P49)+G49/N49*(1-NORMSDIST((LN(G49)-Q49)/P49)))</f>
        <v>0.997406922776116</v>
      </c>
      <c r="S49" s="14" t="n">
        <f aca="false">IF(F49="—",0,H49*L49*M49*R49)</f>
        <v>69757.2408569452</v>
      </c>
      <c r="T49" s="18" t="n">
        <f aca="false">S49*sig_SAU</f>
        <v>5580.57926855561</v>
      </c>
      <c r="U49" s="14" t="n">
        <f aca="false">S49+T49</f>
        <v>75337.8201255008</v>
      </c>
      <c r="V49" s="14" t="n">
        <f aca="false">U49/(1-load_SAU)</f>
        <v>107625.457322144</v>
      </c>
      <c r="W49" s="18" t="n">
        <f aca="false">V49*ea_SAU</f>
        <v>13991.3094518787</v>
      </c>
      <c r="X49" s="18" t="n">
        <f aca="false">V49*ec_SAU</f>
        <v>12915.0548786573</v>
      </c>
      <c r="Y49" s="18" t="n">
        <f aca="false">V49*m_SAU</f>
        <v>5381.2728661072</v>
      </c>
      <c r="Z49" s="18" t="n">
        <f aca="false">V49*tax_SAU</f>
        <v>1076.25457322144</v>
      </c>
      <c r="AA49" s="19" t="n">
        <f aca="false">V49+Z49</f>
        <v>108701.711895365</v>
      </c>
      <c r="AB49" s="40" t="n">
        <f aca="false">IF(G49&gt;0,S49/G49*1000,"n.a.")</f>
        <v>69.7572408569452</v>
      </c>
    </row>
    <row r="50" customFormat="false" ht="15" hidden="false" customHeight="false" outlineLevel="0" collapsed="false">
      <c r="A50" s="32" t="str">
        <f aca="false">B50&amp;"|"&amp;C50</f>
        <v>Premium|DENT</v>
      </c>
      <c r="B50" s="16" t="s">
        <v>300</v>
      </c>
      <c r="C50" s="7" t="s">
        <v>176</v>
      </c>
      <c r="D50" s="32" t="str">
        <f aca="false">INDEX(Cov_Nome,MATCH(C50,Cov_Cod,0))</f>
        <v>Estomatologia (tratamentos)</v>
      </c>
      <c r="E50" s="32" t="str">
        <f aca="false">INDEX(Cov_Grupo,MATCH(C50,Cov_Cod,0))</f>
        <v>Extensão</v>
      </c>
      <c r="F50" s="37" t="s">
        <v>296</v>
      </c>
      <c r="G50" s="35" t="n">
        <v>750000</v>
      </c>
      <c r="H50" s="40" t="n">
        <f aca="false">INDEX(Cov_Lambda,MATCH(C50,Cov_Cod,0))</f>
        <v>0.85</v>
      </c>
      <c r="I50" s="18" t="n">
        <f aca="false">INDEX(Cov_Mu,MATCH(C50,Cov_Cod,0))</f>
        <v>34500</v>
      </c>
      <c r="J50" s="40" t="n">
        <f aca="false">IF(INDEX(Cov_FR,MATCH(C50,Cov_Cod,0))="S",INDEX(PF_Factor,MATCH("SAU|"&amp;B50,PF_Key,0)),1)</f>
        <v>1.3</v>
      </c>
      <c r="K50" s="18" t="n">
        <f aca="false">IF(C50="HOSP_INT",los_int,IF(C50="HOSP_CIR",los_cir,0))*MAX(0,room_ref*J50-INDEX(PF_Room,MATCH("SAU|"&amp;B50,PF_Key,0)))</f>
        <v>0</v>
      </c>
      <c r="L50" s="18" t="n">
        <f aca="false">MAX(0,I50*J50-K50)</f>
        <v>44850</v>
      </c>
      <c r="M50" s="40" t="n">
        <f aca="false">f_trend</f>
        <v>1.182194</v>
      </c>
      <c r="N50" s="18" t="n">
        <f aca="false">H50*L50*M50/(1-EXP(-H50))</f>
        <v>78710.0350317977</v>
      </c>
      <c r="O50" s="44" t="n">
        <f aca="false">INDEX(Cov_CV,MATCH(C50,Cov_Cod,0))</f>
        <v>1</v>
      </c>
      <c r="P50" s="40" t="n">
        <f aca="false">SQRT(LN(1+O50^2))</f>
        <v>0.832554611157698</v>
      </c>
      <c r="Q50" s="40" t="n">
        <f aca="false">LN(N50)-P50^2/2</f>
        <v>10.9269523459307</v>
      </c>
      <c r="R50" s="40" t="n">
        <f aca="false">IF(G50&lt;=0,1,NORMSDIST((LN(G50)-Q50-P50^2)/P50)+G50/N50*(1-NORMSDIST((LN(G50)-Q50)/P50)))</f>
        <v>0.997531216239562</v>
      </c>
      <c r="S50" s="14" t="n">
        <f aca="false">IF(F50="—",0,H50*L50*M50*R50)</f>
        <v>44956.9271475271</v>
      </c>
      <c r="T50" s="18" t="n">
        <f aca="false">S50*sig_SAU</f>
        <v>3596.55417180216</v>
      </c>
      <c r="U50" s="14" t="n">
        <f aca="false">S50+T50</f>
        <v>48553.4813193292</v>
      </c>
      <c r="V50" s="14" t="n">
        <f aca="false">U50/(1-load_SAU)</f>
        <v>69362.1161704703</v>
      </c>
      <c r="W50" s="18" t="n">
        <f aca="false">V50*ea_SAU</f>
        <v>9017.07510216114</v>
      </c>
      <c r="X50" s="18" t="n">
        <f aca="false">V50*ec_SAU</f>
        <v>8323.45394045644</v>
      </c>
      <c r="Y50" s="18" t="n">
        <f aca="false">V50*m_SAU</f>
        <v>3468.10580852352</v>
      </c>
      <c r="Z50" s="18" t="n">
        <f aca="false">V50*tax_SAU</f>
        <v>693.621161704703</v>
      </c>
      <c r="AA50" s="19" t="n">
        <f aca="false">V50+Z50</f>
        <v>70055.737332175</v>
      </c>
      <c r="AB50" s="40" t="n">
        <f aca="false">IF(G50&gt;0,S50/G50*1000,"n.a.")</f>
        <v>59.9425695300361</v>
      </c>
    </row>
    <row r="51" customFormat="false" ht="15" hidden="false" customHeight="false" outlineLevel="0" collapsed="false">
      <c r="A51" s="32" t="str">
        <f aca="false">B51&amp;"|"&amp;C51</f>
        <v>Premium|PROT</v>
      </c>
      <c r="B51" s="16" t="s">
        <v>300</v>
      </c>
      <c r="C51" s="7" t="s">
        <v>180</v>
      </c>
      <c r="D51" s="32" t="str">
        <f aca="false">INDEX(Cov_Nome,MATCH(C51,Cov_Cod,0))</f>
        <v>Próteses Dentárias</v>
      </c>
      <c r="E51" s="32" t="str">
        <f aca="false">INDEX(Cov_Grupo,MATCH(C51,Cov_Cod,0))</f>
        <v>Extensão</v>
      </c>
      <c r="F51" s="37" t="s">
        <v>296</v>
      </c>
      <c r="G51" s="35" t="n">
        <v>400000</v>
      </c>
      <c r="H51" s="40" t="n">
        <f aca="false">INDEX(Cov_Lambda,MATCH(C51,Cov_Cod,0))</f>
        <v>0.02</v>
      </c>
      <c r="I51" s="18" t="n">
        <f aca="false">INDEX(Cov_Mu,MATCH(C51,Cov_Cod,0))</f>
        <v>304000</v>
      </c>
      <c r="J51" s="40" t="n">
        <f aca="false">IF(INDEX(Cov_FR,MATCH(C51,Cov_Cod,0))="S",INDEX(PF_Factor,MATCH("SAU|"&amp;B51,PF_Key,0)),1)</f>
        <v>1</v>
      </c>
      <c r="K51" s="18" t="n">
        <f aca="false">IF(C51="HOSP_INT",los_int,IF(C51="HOSP_CIR",los_cir,0))*MAX(0,room_ref*J51-INDEX(PF_Room,MATCH("SAU|"&amp;B51,PF_Key,0)))</f>
        <v>0</v>
      </c>
      <c r="L51" s="18" t="n">
        <f aca="false">MAX(0,I51*J51-K51)</f>
        <v>304000</v>
      </c>
      <c r="M51" s="40" t="n">
        <f aca="false">f_trend</f>
        <v>1.182194</v>
      </c>
      <c r="N51" s="18" t="n">
        <f aca="false">H51*L51*M51/(1-EXP(-H51))</f>
        <v>362992.825246003</v>
      </c>
      <c r="O51" s="44" t="n">
        <f aca="false">INDEX(Cov_CV,MATCH(C51,Cov_Cod,0))</f>
        <v>0.7</v>
      </c>
      <c r="P51" s="40" t="n">
        <f aca="false">SQRT(LN(1+O51^2))</f>
        <v>0.631487228657372</v>
      </c>
      <c r="Q51" s="40" t="n">
        <f aca="false">LN(N51)-P51^2/2</f>
        <v>12.6027502879104</v>
      </c>
      <c r="R51" s="40" t="n">
        <f aca="false">IF(G51&lt;=0,1,NORMSDIST((LN(G51)-Q51-P51^2)/P51)+G51/N51*(1-NORMSDIST((LN(G51)-Q51)/P51)))</f>
        <v>0.787572506098234</v>
      </c>
      <c r="S51" s="14" t="n">
        <f aca="false">IF(F51="—",0,H51*L51*M51*R51)</f>
        <v>5660.86602694771</v>
      </c>
      <c r="T51" s="18" t="n">
        <f aca="false">S51*sig_SAU</f>
        <v>452.869282155817</v>
      </c>
      <c r="U51" s="14" t="n">
        <f aca="false">S51+T51</f>
        <v>6113.73530910353</v>
      </c>
      <c r="V51" s="14" t="n">
        <f aca="false">U51/(1-load_SAU)</f>
        <v>8733.90758443362</v>
      </c>
      <c r="W51" s="18" t="n">
        <f aca="false">V51*ea_SAU</f>
        <v>1135.40798597637</v>
      </c>
      <c r="X51" s="18" t="n">
        <f aca="false">V51*ec_SAU</f>
        <v>1048.06891013203</v>
      </c>
      <c r="Y51" s="18" t="n">
        <f aca="false">V51*m_SAU</f>
        <v>436.695379221681</v>
      </c>
      <c r="Z51" s="18" t="n">
        <f aca="false">V51*tax_SAU</f>
        <v>87.3390758443362</v>
      </c>
      <c r="AA51" s="19" t="n">
        <f aca="false">V51+Z51</f>
        <v>8821.24666027795</v>
      </c>
      <c r="AB51" s="40" t="n">
        <f aca="false">IF(G51&gt;0,S51/G51*1000,"n.a.")</f>
        <v>14.1521650673693</v>
      </c>
    </row>
    <row r="52" customFormat="false" ht="15" hidden="false" customHeight="false" outlineLevel="0" collapsed="false">
      <c r="A52" s="32" t="str">
        <f aca="false">B52&amp;"|"&amp;C52</f>
        <v>Premium|OPT</v>
      </c>
      <c r="B52" s="16" t="s">
        <v>300</v>
      </c>
      <c r="C52" s="7" t="s">
        <v>184</v>
      </c>
      <c r="D52" s="32" t="str">
        <f aca="false">INDEX(Cov_Nome,MATCH(C52,Cov_Cod,0))</f>
        <v>Óptica — Lentes e Armações</v>
      </c>
      <c r="E52" s="32" t="str">
        <f aca="false">INDEX(Cov_Grupo,MATCH(C52,Cov_Cod,0))</f>
        <v>Extensão</v>
      </c>
      <c r="F52" s="37" t="s">
        <v>296</v>
      </c>
      <c r="G52" s="35" t="n">
        <v>300000</v>
      </c>
      <c r="H52" s="40" t="n">
        <f aca="false">INDEX(Cov_Lambda,MATCH(C52,Cov_Cod,0))</f>
        <v>0.22</v>
      </c>
      <c r="I52" s="18" t="n">
        <f aca="false">INDEX(Cov_Mu,MATCH(C52,Cov_Cod,0))</f>
        <v>102500</v>
      </c>
      <c r="J52" s="40" t="n">
        <f aca="false">IF(INDEX(Cov_FR,MATCH(C52,Cov_Cod,0))="S",INDEX(PF_Factor,MATCH("SAU|"&amp;B52,PF_Key,0)),1)</f>
        <v>1</v>
      </c>
      <c r="K52" s="18" t="n">
        <f aca="false">IF(C52="HOSP_INT",los_int,IF(C52="HOSP_CIR",los_cir,0))*MAX(0,room_ref*J52-INDEX(PF_Room,MATCH("SAU|"&amp;B52,PF_Key,0)))</f>
        <v>0</v>
      </c>
      <c r="L52" s="18" t="n">
        <f aca="false">MAX(0,I52*J52-K52)</f>
        <v>102500</v>
      </c>
      <c r="M52" s="40" t="n">
        <f aca="false">f_trend</f>
        <v>1.182194</v>
      </c>
      <c r="N52" s="18" t="n">
        <f aca="false">H52*L52*M52/(1-EXP(-H52))</f>
        <v>134992.467257389</v>
      </c>
      <c r="O52" s="44" t="n">
        <f aca="false">INDEX(Cov_CV,MATCH(C52,Cov_Cod,0))</f>
        <v>0.5</v>
      </c>
      <c r="P52" s="40" t="n">
        <f aca="false">SQRT(LN(1+O52^2))</f>
        <v>0.472380727077439</v>
      </c>
      <c r="Q52" s="40" t="n">
        <f aca="false">LN(N52)-P52^2/2</f>
        <v>11.7014024821133</v>
      </c>
      <c r="R52" s="40" t="n">
        <f aca="false">IF(G52&lt;=0,1,NORMSDIST((LN(G52)-Q52-P52^2)/P52)+G52/N52*(1-NORMSDIST((LN(G52)-Q52)/P52)))</f>
        <v>0.987093364225325</v>
      </c>
      <c r="S52" s="14" t="n">
        <f aca="false">IF(F52="—",0,H52*L52*M52*R52)</f>
        <v>26314.4034767387</v>
      </c>
      <c r="T52" s="18" t="n">
        <f aca="false">S52*sig_SAU</f>
        <v>2105.1522781391</v>
      </c>
      <c r="U52" s="14" t="n">
        <f aca="false">S52+T52</f>
        <v>28419.5557548778</v>
      </c>
      <c r="V52" s="14" t="n">
        <f aca="false">U52/(1-load_SAU)</f>
        <v>40599.3653641112</v>
      </c>
      <c r="W52" s="18" t="n">
        <f aca="false">V52*ea_SAU</f>
        <v>5277.91749733445</v>
      </c>
      <c r="X52" s="18" t="n">
        <f aca="false">V52*ec_SAU</f>
        <v>4871.92384369334</v>
      </c>
      <c r="Y52" s="18" t="n">
        <f aca="false">V52*m_SAU</f>
        <v>2029.96826820556</v>
      </c>
      <c r="Z52" s="18" t="n">
        <f aca="false">V52*tax_SAU</f>
        <v>405.993653641112</v>
      </c>
      <c r="AA52" s="19" t="n">
        <f aca="false">V52+Z52</f>
        <v>41005.3590177523</v>
      </c>
      <c r="AB52" s="40" t="n">
        <f aca="false">IF(G52&gt;0,S52/G52*1000,"n.a.")</f>
        <v>87.7146782557957</v>
      </c>
    </row>
    <row r="53" customFormat="false" ht="15" hidden="false" customHeight="false" outlineLevel="0" collapsed="false">
      <c r="A53" s="32" t="str">
        <f aca="false">B53&amp;"|"&amp;C53</f>
        <v>Premium|PREV</v>
      </c>
      <c r="B53" s="16" t="s">
        <v>300</v>
      </c>
      <c r="C53" s="7" t="s">
        <v>188</v>
      </c>
      <c r="D53" s="32" t="str">
        <f aca="false">INDEX(Cov_Nome,MATCH(C53,Cov_Cod,0))</f>
        <v>Medicina Preventiva e Check-up Anual</v>
      </c>
      <c r="E53" s="32" t="str">
        <f aca="false">INDEX(Cov_Grupo,MATCH(C53,Cov_Cod,0))</f>
        <v>Extensão</v>
      </c>
      <c r="F53" s="37" t="s">
        <v>296</v>
      </c>
      <c r="G53" s="35" t="n">
        <v>250000</v>
      </c>
      <c r="H53" s="40" t="n">
        <f aca="false">INDEX(Cov_Lambda,MATCH(C53,Cov_Cod,0))</f>
        <v>0.55</v>
      </c>
      <c r="I53" s="18" t="n">
        <f aca="false">INDEX(Cov_Mu,MATCH(C53,Cov_Cod,0))</f>
        <v>76000</v>
      </c>
      <c r="J53" s="40" t="n">
        <f aca="false">IF(INDEX(Cov_FR,MATCH(C53,Cov_Cod,0))="S",INDEX(PF_Factor,MATCH("SAU|"&amp;B53,PF_Key,0)),1)</f>
        <v>1</v>
      </c>
      <c r="K53" s="18" t="n">
        <f aca="false">IF(C53="HOSP_INT",los_int,IF(C53="HOSP_CIR",los_cir,0))*MAX(0,room_ref*J53-INDEX(PF_Room,MATCH("SAU|"&amp;B53,PF_Key,0)))</f>
        <v>0</v>
      </c>
      <c r="L53" s="18" t="n">
        <f aca="false">MAX(0,I53*J53-K53)</f>
        <v>76000</v>
      </c>
      <c r="M53" s="40" t="n">
        <f aca="false">f_trend</f>
        <v>1.182194</v>
      </c>
      <c r="N53" s="18" t="n">
        <f aca="false">H53*L53*M53/(1-EXP(-H53))</f>
        <v>116808.14809336</v>
      </c>
      <c r="O53" s="44" t="n">
        <f aca="false">INDEX(Cov_CV,MATCH(C53,Cov_Cod,0))</f>
        <v>0.3</v>
      </c>
      <c r="P53" s="40" t="n">
        <f aca="false">SQRT(LN(1+O53^2))</f>
        <v>0.293560379208524</v>
      </c>
      <c r="Q53" s="40" t="n">
        <f aca="false">LN(N53)-P53^2/2</f>
        <v>11.6251992598958</v>
      </c>
      <c r="R53" s="40" t="n">
        <f aca="false">IF(G53&lt;=0,1,NORMSDIST((LN(G53)-Q53-P53^2)/P53)+G53/N53*(1-NORMSDIST((LN(G53)-Q53)/P53)))</f>
        <v>0.999361044572864</v>
      </c>
      <c r="S53" s="14" t="n">
        <f aca="false">IF(F53="—",0,H53*L53*M53*R53)</f>
        <v>49384.1347644209</v>
      </c>
      <c r="T53" s="18" t="n">
        <f aca="false">S53*sig_SAU</f>
        <v>3950.73078115367</v>
      </c>
      <c r="U53" s="14" t="n">
        <f aca="false">S53+T53</f>
        <v>53334.8655455745</v>
      </c>
      <c r="V53" s="14" t="n">
        <f aca="false">U53/(1-load_SAU)</f>
        <v>76192.6650651065</v>
      </c>
      <c r="W53" s="18" t="n">
        <f aca="false">V53*ea_SAU</f>
        <v>9905.04645846384</v>
      </c>
      <c r="X53" s="18" t="n">
        <f aca="false">V53*ec_SAU</f>
        <v>9143.11980781278</v>
      </c>
      <c r="Y53" s="18" t="n">
        <f aca="false">V53*m_SAU</f>
        <v>3809.63325325532</v>
      </c>
      <c r="Z53" s="18" t="n">
        <f aca="false">V53*tax_SAU</f>
        <v>761.926650651065</v>
      </c>
      <c r="AA53" s="19" t="n">
        <f aca="false">V53+Z53</f>
        <v>76954.5917157575</v>
      </c>
      <c r="AB53" s="40" t="n">
        <f aca="false">IF(G53&gt;0,S53/G53*1000,"n.a.")</f>
        <v>197.536539057683</v>
      </c>
    </row>
    <row r="54" customFormat="false" ht="15" hidden="false" customHeight="false" outlineLevel="0" collapsed="false">
      <c r="A54" s="32" t="str">
        <f aca="false">B54&amp;"|"&amp;C54</f>
        <v>Premium|EVAC</v>
      </c>
      <c r="B54" s="16" t="s">
        <v>300</v>
      </c>
      <c r="C54" s="7" t="s">
        <v>192</v>
      </c>
      <c r="D54" s="32" t="str">
        <f aca="false">INDEX(Cov_Nome,MATCH(C54,Cov_Cod,0))</f>
        <v>Evacuação Médica e Cobertura no Estrangeiro</v>
      </c>
      <c r="E54" s="32" t="str">
        <f aca="false">INDEX(Cov_Grupo,MATCH(C54,Cov_Cod,0))</f>
        <v>Extensão</v>
      </c>
      <c r="F54" s="37" t="s">
        <v>296</v>
      </c>
      <c r="G54" s="35" t="n">
        <v>100000000</v>
      </c>
      <c r="H54" s="40" t="n">
        <f aca="false">INDEX(Cov_Lambda,MATCH(C54,Cov_Cod,0))</f>
        <v>0.0012</v>
      </c>
      <c r="I54" s="18" t="n">
        <f aca="false">INDEX(Cov_Mu,MATCH(C54,Cov_Cod,0))</f>
        <v>44700960</v>
      </c>
      <c r="J54" s="40" t="n">
        <f aca="false">IF(INDEX(Cov_FR,MATCH(C54,Cov_Cod,0))="S",INDEX(PF_Factor,MATCH("SAU|"&amp;B54,PF_Key,0)),1)</f>
        <v>1</v>
      </c>
      <c r="K54" s="18" t="n">
        <f aca="false">IF(C54="HOSP_INT",los_int,IF(C54="HOSP_CIR",los_cir,0))*MAX(0,room_ref*J54-INDEX(PF_Room,MATCH("SAU|"&amp;B54,PF_Key,0)))</f>
        <v>0</v>
      </c>
      <c r="L54" s="18" t="n">
        <f aca="false">MAX(0,I54*J54-K54)</f>
        <v>44700960</v>
      </c>
      <c r="M54" s="40" t="n">
        <f aca="false">f_trend</f>
        <v>1.182194</v>
      </c>
      <c r="N54" s="18" t="n">
        <f aca="false">H54*L54*M54/(1-EXP(-H54))</f>
        <v>52876920.171689</v>
      </c>
      <c r="O54" s="44" t="n">
        <f aca="false">INDEX(Cov_CV,MATCH(C54,Cov_Cod,0))</f>
        <v>1</v>
      </c>
      <c r="P54" s="40" t="n">
        <f aca="false">SQRT(LN(1+O54^2))</f>
        <v>0.832554611157698</v>
      </c>
      <c r="Q54" s="40" t="n">
        <f aca="false">LN(N54)-P54^2/2</f>
        <v>17.4369039196952</v>
      </c>
      <c r="R54" s="40" t="n">
        <f aca="false">IF(G54&lt;=0,1,NORMSDIST((LN(G54)-Q54-P54^2)/P54)+G54/N54*(1-NORMSDIST((LN(G54)-Q54)/P54)))</f>
        <v>0.860922343686199</v>
      </c>
      <c r="S54" s="14" t="n">
        <f aca="false">IF(F54="—",0,H54*L54*M54*R54)</f>
        <v>54594.7430521413</v>
      </c>
      <c r="T54" s="18" t="n">
        <f aca="false">S54*sig_SAU</f>
        <v>4367.57944417131</v>
      </c>
      <c r="U54" s="14" t="n">
        <f aca="false">S54+T54</f>
        <v>58962.3224963126</v>
      </c>
      <c r="V54" s="14" t="n">
        <f aca="false">U54/(1-load_SAU)</f>
        <v>84231.8892804466</v>
      </c>
      <c r="W54" s="18" t="n">
        <f aca="false">V54*ea_SAU</f>
        <v>10950.1456064581</v>
      </c>
      <c r="X54" s="18" t="n">
        <f aca="false">V54*ec_SAU</f>
        <v>10107.8267136536</v>
      </c>
      <c r="Y54" s="18" t="n">
        <f aca="false">V54*m_SAU</f>
        <v>4211.59446402233</v>
      </c>
      <c r="Z54" s="18" t="n">
        <f aca="false">V54*tax_SAU</f>
        <v>842.318892804466</v>
      </c>
      <c r="AA54" s="19" t="n">
        <f aca="false">V54+Z54</f>
        <v>85074.2081732511</v>
      </c>
      <c r="AB54" s="40" t="n">
        <f aca="false">IF(G54&gt;0,S54/G54*1000,"n.a.")</f>
        <v>0.545947430521413</v>
      </c>
    </row>
    <row r="55" customFormat="false" ht="15" hidden="false" customHeight="false" outlineLevel="0" collapsed="false">
      <c r="A55" s="32" t="str">
        <f aca="false">B55&amp;"|"&amp;C55</f>
        <v>Premium|ONCO</v>
      </c>
      <c r="B55" s="16" t="s">
        <v>300</v>
      </c>
      <c r="C55" s="7" t="s">
        <v>196</v>
      </c>
      <c r="D55" s="32" t="str">
        <f aca="false">INDEX(Cov_Nome,MATCH(C55,Cov_Cod,0))</f>
        <v>Doenças Graves — Oncologia</v>
      </c>
      <c r="E55" s="32" t="str">
        <f aca="false">INDEX(Cov_Grupo,MATCH(C55,Cov_Cod,0))</f>
        <v>Extensão</v>
      </c>
      <c r="F55" s="37" t="s">
        <v>296</v>
      </c>
      <c r="G55" s="35" t="n">
        <v>50000000</v>
      </c>
      <c r="H55" s="40" t="n">
        <f aca="false">INDEX(Cov_Lambda,MATCH(C55,Cov_Cod,0))</f>
        <v>0.00055</v>
      </c>
      <c r="I55" s="18" t="n">
        <f aca="false">INDEX(Cov_Mu,MATCH(C55,Cov_Cod,0))</f>
        <v>18400000</v>
      </c>
      <c r="J55" s="40" t="n">
        <f aca="false">IF(INDEX(Cov_FR,MATCH(C55,Cov_Cod,0))="S",INDEX(PF_Factor,MATCH("SAU|"&amp;B55,PF_Key,0)),1)</f>
        <v>1</v>
      </c>
      <c r="K55" s="18" t="n">
        <f aca="false">IF(C55="HOSP_INT",los_int,IF(C55="HOSP_CIR",los_cir,0))*MAX(0,room_ref*J55-INDEX(PF_Room,MATCH("SAU|"&amp;B55,PF_Key,0)))</f>
        <v>0</v>
      </c>
      <c r="L55" s="18" t="n">
        <f aca="false">MAX(0,I55*J55-K55)</f>
        <v>18400000</v>
      </c>
      <c r="M55" s="40" t="n">
        <f aca="false">f_trend</f>
        <v>1.182194</v>
      </c>
      <c r="N55" s="18" t="n">
        <f aca="false">H55*L55*M55/(1-EXP(-H55))</f>
        <v>21758352.0499812</v>
      </c>
      <c r="O55" s="44" t="n">
        <f aca="false">INDEX(Cov_CV,MATCH(C55,Cov_Cod,0))</f>
        <v>1</v>
      </c>
      <c r="P55" s="40" t="n">
        <f aca="false">SQRT(LN(1+O55^2))</f>
        <v>0.832554611157698</v>
      </c>
      <c r="Q55" s="40" t="n">
        <f aca="false">LN(N55)-P55^2/2</f>
        <v>16.548934653807</v>
      </c>
      <c r="R55" s="40" t="n">
        <f aca="false">IF(G55&lt;=0,1,NORMSDIST((LN(G55)-Q55-P55^2)/P55)+G55/N55*(1-NORMSDIST((LN(G55)-Q55)/P55)))</f>
        <v>0.900335784806466</v>
      </c>
      <c r="S55" s="14" t="n">
        <f aca="false">IF(F55="—",0,H55*L55*M55*R55)</f>
        <v>10771.440215369</v>
      </c>
      <c r="T55" s="18" t="n">
        <f aca="false">S55*sig_SAU</f>
        <v>861.715217229517</v>
      </c>
      <c r="U55" s="14" t="n">
        <f aca="false">S55+T55</f>
        <v>11633.1554325985</v>
      </c>
      <c r="V55" s="14" t="n">
        <f aca="false">U55/(1-load_SAU)</f>
        <v>16618.7934751407</v>
      </c>
      <c r="W55" s="18" t="n">
        <f aca="false">V55*ea_SAU</f>
        <v>2160.44315176829</v>
      </c>
      <c r="X55" s="18" t="n">
        <f aca="false">V55*ec_SAU</f>
        <v>1994.25521701688</v>
      </c>
      <c r="Y55" s="18" t="n">
        <f aca="false">V55*m_SAU</f>
        <v>830.939673757035</v>
      </c>
      <c r="Z55" s="18" t="n">
        <f aca="false">V55*tax_SAU</f>
        <v>166.187934751407</v>
      </c>
      <c r="AA55" s="19" t="n">
        <f aca="false">V55+Z55</f>
        <v>16784.9814098921</v>
      </c>
      <c r="AB55" s="40" t="n">
        <f aca="false">IF(G55&gt;0,S55/G55*1000,"n.a.")</f>
        <v>0.215428804307379</v>
      </c>
    </row>
    <row r="56" customFormat="false" ht="15" hidden="false" customHeight="false" outlineLevel="0" collapsed="false">
      <c r="A56" s="32" t="str">
        <f aca="false">B56&amp;"|"&amp;C56</f>
        <v>Premium|HEMO</v>
      </c>
      <c r="B56" s="16" t="s">
        <v>300</v>
      </c>
      <c r="C56" s="7" t="s">
        <v>200</v>
      </c>
      <c r="D56" s="32" t="str">
        <f aca="false">INDEX(Cov_Nome,MATCH(C56,Cov_Cod,0))</f>
        <v>Doenças Crónicas — Hemodiálise</v>
      </c>
      <c r="E56" s="32" t="str">
        <f aca="false">INDEX(Cov_Grupo,MATCH(C56,Cov_Cod,0))</f>
        <v>Extensão</v>
      </c>
      <c r="F56" s="37" t="s">
        <v>296</v>
      </c>
      <c r="G56" s="35" t="n">
        <v>25000000</v>
      </c>
      <c r="H56" s="40" t="n">
        <f aca="false">INDEX(Cov_Lambda,MATCH(C56,Cov_Cod,0))</f>
        <v>0.00025</v>
      </c>
      <c r="I56" s="18" t="n">
        <f aca="false">INDEX(Cov_Mu,MATCH(C56,Cov_Cod,0))</f>
        <v>14352000</v>
      </c>
      <c r="J56" s="40" t="n">
        <f aca="false">IF(INDEX(Cov_FR,MATCH(C56,Cov_Cod,0))="S",INDEX(PF_Factor,MATCH("SAU|"&amp;B56,PF_Key,0)),1)</f>
        <v>1</v>
      </c>
      <c r="K56" s="18" t="n">
        <f aca="false">IF(C56="HOSP_INT",los_int,IF(C56="HOSP_CIR",los_cir,0))*MAX(0,room_ref*J56-INDEX(PF_Room,MATCH("SAU|"&amp;B56,PF_Key,0)))</f>
        <v>0</v>
      </c>
      <c r="L56" s="18" t="n">
        <f aca="false">MAX(0,I56*J56-K56)</f>
        <v>14352000</v>
      </c>
      <c r="M56" s="40" t="n">
        <f aca="false">f_trend</f>
        <v>1.182194</v>
      </c>
      <c r="N56" s="18" t="n">
        <f aca="false">H56*L56*M56/(1-EXP(-H56))</f>
        <v>16968969.2324074</v>
      </c>
      <c r="O56" s="44" t="n">
        <f aca="false">INDEX(Cov_CV,MATCH(C56,Cov_Cod,0))</f>
        <v>0.4</v>
      </c>
      <c r="P56" s="40" t="n">
        <f aca="false">SQRT(LN(1+O56^2))</f>
        <v>0.385253170159927</v>
      </c>
      <c r="Q56" s="40" t="n">
        <f aca="false">LN(N56)-P56^2/2</f>
        <v>16.5726868922294</v>
      </c>
      <c r="R56" s="40" t="n">
        <f aca="false">IF(G56&lt;=0,1,NORMSDIST((LN(G56)-Q56-P56^2)/P56)+G56/N56*(1-NORMSDIST((LN(G56)-Q56)/P56)))</f>
        <v>0.961920795721015</v>
      </c>
      <c r="S56" s="14" t="n">
        <f aca="false">IF(F56="—",0,H56*L56*M56*R56)</f>
        <v>4080.19105151767</v>
      </c>
      <c r="T56" s="18" t="n">
        <f aca="false">S56*sig_SAU</f>
        <v>326.415284121414</v>
      </c>
      <c r="U56" s="14" t="n">
        <f aca="false">S56+T56</f>
        <v>4406.60633563909</v>
      </c>
      <c r="V56" s="14" t="n">
        <f aca="false">U56/(1-load_SAU)</f>
        <v>6295.15190805584</v>
      </c>
      <c r="W56" s="18" t="n">
        <f aca="false">V56*ea_SAU</f>
        <v>818.369748047259</v>
      </c>
      <c r="X56" s="18" t="n">
        <f aca="false">V56*ec_SAU</f>
        <v>755.418228966701</v>
      </c>
      <c r="Y56" s="18" t="n">
        <f aca="false">V56*m_SAU</f>
        <v>314.757595402792</v>
      </c>
      <c r="Z56" s="18" t="n">
        <f aca="false">V56*tax_SAU</f>
        <v>62.9515190805584</v>
      </c>
      <c r="AA56" s="19" t="n">
        <f aca="false">V56+Z56</f>
        <v>6358.1034271364</v>
      </c>
      <c r="AB56" s="40" t="n">
        <f aca="false">IF(G56&gt;0,S56/G56*1000,"n.a.")</f>
        <v>0.163207642060707</v>
      </c>
    </row>
    <row r="59" customFormat="false" ht="15" hidden="false" customHeight="false" outlineLevel="0" collapsed="false">
      <c r="A59" s="4" t="s">
        <v>301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customFormat="false" ht="48" hidden="false" customHeight="true" outlineLevel="0" collapsed="false">
      <c r="A60" s="6"/>
      <c r="B60" s="6" t="s">
        <v>37</v>
      </c>
      <c r="C60" s="6" t="s">
        <v>302</v>
      </c>
      <c r="D60" s="6" t="s">
        <v>303</v>
      </c>
      <c r="E60" s="6" t="s">
        <v>304</v>
      </c>
      <c r="F60" s="6" t="s">
        <v>305</v>
      </c>
      <c r="G60" s="6" t="s">
        <v>306</v>
      </c>
      <c r="H60" s="6" t="s">
        <v>307</v>
      </c>
      <c r="I60" s="6" t="s">
        <v>308</v>
      </c>
      <c r="J60" s="6" t="s">
        <v>309</v>
      </c>
      <c r="K60" s="6" t="s">
        <v>310</v>
      </c>
      <c r="L60" s="6" t="s">
        <v>311</v>
      </c>
      <c r="M60" s="6" t="s">
        <v>312</v>
      </c>
      <c r="N60" s="6" t="s">
        <v>313</v>
      </c>
      <c r="O60" s="6" t="s">
        <v>314</v>
      </c>
      <c r="P60" s="6" t="s">
        <v>315</v>
      </c>
      <c r="Q60" s="6" t="s">
        <v>316</v>
      </c>
      <c r="R60" s="6" t="s">
        <v>317</v>
      </c>
      <c r="S60" s="6" t="s">
        <v>318</v>
      </c>
      <c r="T60" s="6" t="s">
        <v>319</v>
      </c>
    </row>
    <row r="61" customFormat="false" ht="15" hidden="false" customHeight="false" outlineLevel="0" collapsed="false">
      <c r="B61" s="16" t="s">
        <v>38</v>
      </c>
      <c r="C61" s="7" t="s">
        <v>320</v>
      </c>
      <c r="D61" s="7" t="str">
        <f aca="false">C61&amp;"|"&amp;B61</f>
        <v>M|0-17</v>
      </c>
      <c r="E61" s="18" t="n">
        <f aca="false">SUMPRODUCT(--($F$6:$F$22="B"),$S$6:$S$22,INDEX(RelMatrix,0,MATCH($D61,Rel_Keys,0)))</f>
        <v>78961.7608944102</v>
      </c>
      <c r="F61" s="18" t="n">
        <f aca="false">E61*(1+sig_SAU)</f>
        <v>85278.701765963</v>
      </c>
      <c r="G61" s="18" t="n">
        <f aca="false">F61/(1-load_SAU)</f>
        <v>121826.716808519</v>
      </c>
      <c r="H61" s="19" t="n">
        <f aca="false">G61*(1+tax_SAU)</f>
        <v>123044.983976604</v>
      </c>
      <c r="I61" s="18" t="n">
        <f aca="false">H61*(1+INDEX(Frac_Enc,4))/12</f>
        <v>10663.8986113057</v>
      </c>
      <c r="J61" s="18" t="n">
        <f aca="false">SUMPRODUCT(--($F$23:$F$39="B"),$S$23:$S$39,INDEX(RelMatrix,0,MATCH($D61,Rel_Keys,0)))</f>
        <v>255371.297603899</v>
      </c>
      <c r="K61" s="18" t="n">
        <f aca="false">J61*(1+sig_SAU)</f>
        <v>275801.00141221</v>
      </c>
      <c r="L61" s="18" t="n">
        <f aca="false">K61/(1-load_SAU)</f>
        <v>394001.430588872</v>
      </c>
      <c r="M61" s="19" t="n">
        <f aca="false">L61*(1+tax_SAU)</f>
        <v>397941.444894761</v>
      </c>
      <c r="N61" s="18" t="n">
        <f aca="false">M61*(1+INDEX(Frac_Enc,4))/12</f>
        <v>34488.2585575459</v>
      </c>
      <c r="O61" s="18" t="n">
        <f aca="false">SUMPRODUCT(--($F$40:$F$56="B"),$S$40:$S$56,INDEX(RelMatrix,0,MATCH($D61,Rel_Keys,0)))</f>
        <v>498721.84007618</v>
      </c>
      <c r="P61" s="18" t="n">
        <f aca="false">O61*(1+sig_SAU)</f>
        <v>538619.587282274</v>
      </c>
      <c r="Q61" s="18" t="n">
        <f aca="false">P61/(1-load_SAU)</f>
        <v>769456.553260391</v>
      </c>
      <c r="R61" s="19" t="n">
        <f aca="false">Q61*(1+tax_SAU)</f>
        <v>777151.118792995</v>
      </c>
      <c r="S61" s="18" t="n">
        <f aca="false">R61*(1+INDEX(Frac_Enc,4))/12</f>
        <v>67353.0969620596</v>
      </c>
      <c r="T61" s="29" t="n">
        <f aca="false">IF(C61="M",INDEX(Exp_M,MATCH(B61,Exp_Band,0)),INDEX(Exp_F,MATCH(B61,Exp_Band,0)))</f>
        <v>3200</v>
      </c>
    </row>
    <row r="62" customFormat="false" ht="15" hidden="false" customHeight="false" outlineLevel="0" collapsed="false">
      <c r="B62" s="21" t="s">
        <v>38</v>
      </c>
      <c r="C62" s="9" t="s">
        <v>321</v>
      </c>
      <c r="D62" s="9" t="str">
        <f aca="false">C62&amp;"|"&amp;B62</f>
        <v>F|0-17</v>
      </c>
      <c r="E62" s="46" t="n">
        <f aca="false">SUMPRODUCT(--($F$6:$F$22="B"),$S$6:$S$22,INDEX(RelMatrix,0,MATCH($D62,Rel_Keys,0)))</f>
        <v>74066.5333246625</v>
      </c>
      <c r="F62" s="46" t="n">
        <f aca="false">E62*(1+sig_SAU)</f>
        <v>79991.8559906355</v>
      </c>
      <c r="G62" s="46" t="n">
        <f aca="false">F62/(1-load_SAU)</f>
        <v>114274.079986622</v>
      </c>
      <c r="H62" s="19" t="n">
        <f aca="false">G62*(1+tax_SAU)</f>
        <v>115416.820786488</v>
      </c>
      <c r="I62" s="46" t="n">
        <f aca="false">H62*(1+INDEX(Frac_Enc,4))/12</f>
        <v>10002.791134829</v>
      </c>
      <c r="J62" s="46" t="n">
        <f aca="false">SUMPRODUCT(--($F$23:$F$39="B"),$S$23:$S$39,INDEX(RelMatrix,0,MATCH($D62,Rel_Keys,0)))</f>
        <v>244442.060908218</v>
      </c>
      <c r="K62" s="46" t="n">
        <f aca="false">J62*(1+sig_SAU)</f>
        <v>263997.425780876</v>
      </c>
      <c r="L62" s="46" t="n">
        <f aca="false">K62/(1-load_SAU)</f>
        <v>377139.179686965</v>
      </c>
      <c r="M62" s="19" t="n">
        <f aca="false">L62*(1+tax_SAU)</f>
        <v>380910.571483835</v>
      </c>
      <c r="N62" s="46" t="n">
        <f aca="false">M62*(1+INDEX(Frac_Enc,4))/12</f>
        <v>33012.249528599</v>
      </c>
      <c r="O62" s="46" t="n">
        <f aca="false">SUMPRODUCT(--($F$40:$F$56="B"),$S$40:$S$56,INDEX(RelMatrix,0,MATCH($D62,Rel_Keys,0)))</f>
        <v>490549.522485959</v>
      </c>
      <c r="P62" s="46" t="n">
        <f aca="false">O62*(1+sig_SAU)</f>
        <v>529793.484284836</v>
      </c>
      <c r="Q62" s="46" t="n">
        <f aca="false">P62/(1-load_SAU)</f>
        <v>756847.834692623</v>
      </c>
      <c r="R62" s="19" t="n">
        <f aca="false">Q62*(1+tax_SAU)</f>
        <v>764416.313039549</v>
      </c>
      <c r="S62" s="46" t="n">
        <f aca="false">R62*(1+INDEX(Frac_Enc,4))/12</f>
        <v>66249.4137967609</v>
      </c>
      <c r="T62" s="30" t="n">
        <f aca="false">IF(C62="M",INDEX(Exp_M,MATCH(B62,Exp_Band,0)),INDEX(Exp_F,MATCH(B62,Exp_Band,0)))</f>
        <v>3100</v>
      </c>
    </row>
    <row r="63" customFormat="false" ht="15" hidden="false" customHeight="false" outlineLevel="0" collapsed="false">
      <c r="B63" s="16" t="s">
        <v>39</v>
      </c>
      <c r="C63" s="7" t="s">
        <v>320</v>
      </c>
      <c r="D63" s="7" t="str">
        <f aca="false">C63&amp;"|"&amp;B63</f>
        <v>M|18-35</v>
      </c>
      <c r="E63" s="18" t="n">
        <f aca="false">SUMPRODUCT(--($F$6:$F$22="B"),$S$6:$S$22,INDEX(RelMatrix,0,MATCH($D63,Rel_Keys,0)))</f>
        <v>99410.3100510649</v>
      </c>
      <c r="F63" s="18" t="n">
        <f aca="false">E63*(1+sig_SAU)</f>
        <v>107363.13485515</v>
      </c>
      <c r="G63" s="18" t="n">
        <f aca="false">F63/(1-load_SAU)</f>
        <v>153375.906935929</v>
      </c>
      <c r="H63" s="19" t="n">
        <f aca="false">G63*(1+tax_SAU)</f>
        <v>154909.666005288</v>
      </c>
      <c r="I63" s="18" t="n">
        <f aca="false">H63*(1+INDEX(Frac_Enc,4))/12</f>
        <v>13425.504387125</v>
      </c>
      <c r="J63" s="18" t="n">
        <f aca="false">SUMPRODUCT(--($F$23:$F$39="B"),$S$23:$S$39,INDEX(RelMatrix,0,MATCH($D63,Rel_Keys,0)))</f>
        <v>285757.020693662</v>
      </c>
      <c r="K63" s="18" t="n">
        <f aca="false">J63*(1+sig_SAU)</f>
        <v>308617.582349155</v>
      </c>
      <c r="L63" s="18" t="n">
        <f aca="false">K63/(1-load_SAU)</f>
        <v>440882.260498792</v>
      </c>
      <c r="M63" s="19" t="n">
        <f aca="false">L63*(1+tax_SAU)</f>
        <v>445291.08310378</v>
      </c>
      <c r="N63" s="18" t="n">
        <f aca="false">M63*(1+INDEX(Frac_Enc,4))/12</f>
        <v>38591.8938689943</v>
      </c>
      <c r="O63" s="18" t="n">
        <f aca="false">SUMPRODUCT(--($F$40:$F$56="B"),$S$40:$S$56,INDEX(RelMatrix,0,MATCH($D63,Rel_Keys,0)))</f>
        <v>640769.308799491</v>
      </c>
      <c r="P63" s="18" t="n">
        <f aca="false">O63*(1+sig_SAU)</f>
        <v>692030.85350345</v>
      </c>
      <c r="Q63" s="18" t="n">
        <f aca="false">P63/(1-load_SAU)</f>
        <v>988615.505004928</v>
      </c>
      <c r="R63" s="19" t="n">
        <f aca="false">Q63*(1+tax_SAU)</f>
        <v>998501.660054978</v>
      </c>
      <c r="S63" s="18" t="n">
        <f aca="false">R63*(1+INDEX(Frac_Enc,4))/12</f>
        <v>86536.8105380981</v>
      </c>
      <c r="T63" s="29" t="n">
        <f aca="false">IF(C63="M",INDEX(Exp_M,MATCH(B63,Exp_Band,0)),INDEX(Exp_F,MATCH(B63,Exp_Band,0)))</f>
        <v>4600</v>
      </c>
    </row>
    <row r="64" customFormat="false" ht="15" hidden="false" customHeight="false" outlineLevel="0" collapsed="false">
      <c r="B64" s="21" t="s">
        <v>39</v>
      </c>
      <c r="C64" s="9" t="s">
        <v>321</v>
      </c>
      <c r="D64" s="9" t="str">
        <f aca="false">C64&amp;"|"&amp;B64</f>
        <v>F|18-35</v>
      </c>
      <c r="E64" s="46" t="n">
        <f aca="false">SUMPRODUCT(--($F$6:$F$22="B"),$S$6:$S$22,INDEX(RelMatrix,0,MATCH($D64,Rel_Keys,0)))</f>
        <v>113766.813999154</v>
      </c>
      <c r="F64" s="46" t="n">
        <f aca="false">E64*(1+sig_SAU)</f>
        <v>122868.159119087</v>
      </c>
      <c r="G64" s="46" t="n">
        <f aca="false">F64/(1-load_SAU)</f>
        <v>175525.941598695</v>
      </c>
      <c r="H64" s="19" t="n">
        <f aca="false">G64*(1+tax_SAU)</f>
        <v>177281.201014682</v>
      </c>
      <c r="I64" s="46" t="n">
        <f aca="false">H64*(1+INDEX(Frac_Enc,4))/12</f>
        <v>15364.3707546058</v>
      </c>
      <c r="J64" s="46" t="n">
        <f aca="false">SUMPRODUCT(--($F$23:$F$39="B"),$S$23:$S$39,INDEX(RelMatrix,0,MATCH($D64,Rel_Keys,0)))</f>
        <v>371531.427069324</v>
      </c>
      <c r="K64" s="46" t="n">
        <f aca="false">J64*(1+sig_SAU)</f>
        <v>401253.94123487</v>
      </c>
      <c r="L64" s="46" t="n">
        <f aca="false">K64/(1-load_SAU)</f>
        <v>573219.916049815</v>
      </c>
      <c r="M64" s="19" t="n">
        <f aca="false">L64*(1+tax_SAU)</f>
        <v>578952.115210313</v>
      </c>
      <c r="N64" s="46" t="n">
        <f aca="false">M64*(1+INDEX(Frac_Enc,4))/12</f>
        <v>50175.8499848938</v>
      </c>
      <c r="O64" s="46" t="n">
        <f aca="false">SUMPRODUCT(--($F$40:$F$56="B"),$S$40:$S$56,INDEX(RelMatrix,0,MATCH($D64,Rel_Keys,0)))</f>
        <v>904879.777942228</v>
      </c>
      <c r="P64" s="46" t="n">
        <f aca="false">O64*(1+sig_SAU)</f>
        <v>977270.160177607</v>
      </c>
      <c r="Q64" s="46" t="n">
        <f aca="false">P64/(1-load_SAU)</f>
        <v>1396100.22882515</v>
      </c>
      <c r="R64" s="19" t="n">
        <f aca="false">Q64*(1+tax_SAU)</f>
        <v>1410061.2311134</v>
      </c>
      <c r="S64" s="46" t="n">
        <f aca="false">R64*(1+INDEX(Frac_Enc,4))/12</f>
        <v>122205.306696495</v>
      </c>
      <c r="T64" s="30" t="n">
        <f aca="false">IF(C64="M",INDEX(Exp_M,MATCH(B64,Exp_Band,0)),INDEX(Exp_F,MATCH(B64,Exp_Band,0)))</f>
        <v>4200</v>
      </c>
    </row>
    <row r="65" customFormat="false" ht="15" hidden="false" customHeight="false" outlineLevel="0" collapsed="false">
      <c r="B65" s="16" t="s">
        <v>40</v>
      </c>
      <c r="C65" s="7" t="s">
        <v>320</v>
      </c>
      <c r="D65" s="7" t="str">
        <f aca="false">C65&amp;"|"&amp;B65</f>
        <v>M|36-50</v>
      </c>
      <c r="E65" s="18" t="n">
        <f aca="false">SUMPRODUCT(--($F$6:$F$22="B"),$S$6:$S$22,INDEX(RelMatrix,0,MATCH($D65,Rel_Keys,0)))</f>
        <v>138719.693229622</v>
      </c>
      <c r="F65" s="18" t="n">
        <f aca="false">E65*(1+sig_SAU)</f>
        <v>149817.268687992</v>
      </c>
      <c r="G65" s="18" t="n">
        <f aca="false">F65/(1-load_SAU)</f>
        <v>214024.669554274</v>
      </c>
      <c r="H65" s="19" t="n">
        <f aca="false">G65*(1+tax_SAU)</f>
        <v>216164.916249817</v>
      </c>
      <c r="I65" s="18" t="n">
        <f aca="false">H65*(1+INDEX(Frac_Enc,4))/12</f>
        <v>18734.2927416508</v>
      </c>
      <c r="J65" s="18" t="n">
        <f aca="false">SUMPRODUCT(--($F$23:$F$39="B"),$S$23:$S$39,INDEX(RelMatrix,0,MATCH($D65,Rel_Keys,0)))</f>
        <v>384163.624874189</v>
      </c>
      <c r="K65" s="18" t="n">
        <f aca="false">J65*(1+sig_SAU)</f>
        <v>414896.714864124</v>
      </c>
      <c r="L65" s="18" t="n">
        <f aca="false">K65/(1-load_SAU)</f>
        <v>592709.592663034</v>
      </c>
      <c r="M65" s="19" t="n">
        <f aca="false">L65*(1+tax_SAU)</f>
        <v>598636.688589665</v>
      </c>
      <c r="N65" s="18" t="n">
        <f aca="false">M65*(1+INDEX(Frac_Enc,4))/12</f>
        <v>51881.8463444376</v>
      </c>
      <c r="O65" s="18" t="n">
        <f aca="false">SUMPRODUCT(--($F$40:$F$56="B"),$S$40:$S$56,INDEX(RelMatrix,0,MATCH($D65,Rel_Keys,0)))</f>
        <v>920081.414991317</v>
      </c>
      <c r="P65" s="18" t="n">
        <f aca="false">O65*(1+sig_SAU)</f>
        <v>993687.928190623</v>
      </c>
      <c r="Q65" s="18" t="n">
        <f aca="false">P65/(1-load_SAU)</f>
        <v>1419554.18312946</v>
      </c>
      <c r="R65" s="19" t="n">
        <f aca="false">Q65*(1+tax_SAU)</f>
        <v>1433749.72496076</v>
      </c>
      <c r="S65" s="18" t="n">
        <f aca="false">R65*(1+INDEX(Frac_Enc,4))/12</f>
        <v>124258.309496599</v>
      </c>
      <c r="T65" s="29" t="n">
        <f aca="false">IF(C65="M",INDEX(Exp_M,MATCH(B65,Exp_Band,0)),INDEX(Exp_F,MATCH(B65,Exp_Band,0)))</f>
        <v>3300</v>
      </c>
    </row>
    <row r="66" customFormat="false" ht="15" hidden="false" customHeight="false" outlineLevel="0" collapsed="false">
      <c r="B66" s="21" t="s">
        <v>40</v>
      </c>
      <c r="C66" s="9" t="s">
        <v>321</v>
      </c>
      <c r="D66" s="9" t="str">
        <f aca="false">C66&amp;"|"&amp;B66</f>
        <v>F|36-50</v>
      </c>
      <c r="E66" s="46" t="n">
        <f aca="false">SUMPRODUCT(--($F$6:$F$22="B"),$S$6:$S$22,INDEX(RelMatrix,0,MATCH($D66,Rel_Keys,0)))</f>
        <v>141541.296368943</v>
      </c>
      <c r="F66" s="46" t="n">
        <f aca="false">E66*(1+sig_SAU)</f>
        <v>152864.600078459</v>
      </c>
      <c r="G66" s="46" t="n">
        <f aca="false">F66/(1-load_SAU)</f>
        <v>218378.000112084</v>
      </c>
      <c r="H66" s="19" t="n">
        <f aca="false">G66*(1+tax_SAU)</f>
        <v>220561.780113205</v>
      </c>
      <c r="I66" s="46" t="n">
        <f aca="false">H66*(1+INDEX(Frac_Enc,4))/12</f>
        <v>19115.3542764778</v>
      </c>
      <c r="J66" s="46" t="n">
        <f aca="false">SUMPRODUCT(--($F$23:$F$39="B"),$S$23:$S$39,INDEX(RelMatrix,0,MATCH($D66,Rel_Keys,0)))</f>
        <v>436868.880519985</v>
      </c>
      <c r="K66" s="46" t="n">
        <f aca="false">J66*(1+sig_SAU)</f>
        <v>471818.390961584</v>
      </c>
      <c r="L66" s="46" t="n">
        <f aca="false">K66/(1-load_SAU)</f>
        <v>674026.272802263</v>
      </c>
      <c r="M66" s="19" t="n">
        <f aca="false">L66*(1+tax_SAU)</f>
        <v>680766.535530285</v>
      </c>
      <c r="N66" s="46" t="n">
        <f aca="false">M66*(1+INDEX(Frac_Enc,4))/12</f>
        <v>58999.7664126247</v>
      </c>
      <c r="O66" s="46" t="n">
        <f aca="false">SUMPRODUCT(--($F$40:$F$56="B"),$S$40:$S$56,INDEX(RelMatrix,0,MATCH($D66,Rel_Keys,0)))</f>
        <v>1059002.16596872</v>
      </c>
      <c r="P66" s="46" t="n">
        <f aca="false">O66*(1+sig_SAU)</f>
        <v>1143722.33924621</v>
      </c>
      <c r="Q66" s="46" t="n">
        <f aca="false">P66/(1-load_SAU)</f>
        <v>1633889.05606602</v>
      </c>
      <c r="R66" s="19" t="n">
        <f aca="false">Q66*(1+tax_SAU)</f>
        <v>1650227.94662668</v>
      </c>
      <c r="S66" s="46" t="n">
        <f aca="false">R66*(1+INDEX(Frac_Enc,4))/12</f>
        <v>143019.755374312</v>
      </c>
      <c r="T66" s="30" t="n">
        <f aca="false">IF(C66="M",INDEX(Exp_M,MATCH(B66,Exp_Band,0)),INDEX(Exp_F,MATCH(B66,Exp_Band,0)))</f>
        <v>2700</v>
      </c>
    </row>
    <row r="67" customFormat="false" ht="15" hidden="false" customHeight="false" outlineLevel="0" collapsed="false">
      <c r="B67" s="16" t="s">
        <v>41</v>
      </c>
      <c r="C67" s="7" t="s">
        <v>320</v>
      </c>
      <c r="D67" s="7" t="str">
        <f aca="false">C67&amp;"|"&amp;B67</f>
        <v>M|51-65</v>
      </c>
      <c r="E67" s="18" t="n">
        <f aca="false">SUMPRODUCT(--($F$6:$F$22="B"),$S$6:$S$22,INDEX(RelMatrix,0,MATCH($D67,Rel_Keys,0)))</f>
        <v>214621.512051452</v>
      </c>
      <c r="F67" s="18" t="n">
        <f aca="false">E67*(1+sig_SAU)</f>
        <v>231791.233015568</v>
      </c>
      <c r="G67" s="18" t="n">
        <f aca="false">F67/(1-load_SAU)</f>
        <v>331130.332879383</v>
      </c>
      <c r="H67" s="19" t="n">
        <f aca="false">G67*(1+tax_SAU)</f>
        <v>334441.636208177</v>
      </c>
      <c r="I67" s="18" t="n">
        <f aca="false">H67*(1+INDEX(Frac_Enc,4))/12</f>
        <v>28984.9418047087</v>
      </c>
      <c r="J67" s="18" t="n">
        <f aca="false">SUMPRODUCT(--($F$23:$F$39="B"),$S$23:$S$39,INDEX(RelMatrix,0,MATCH($D67,Rel_Keys,0)))</f>
        <v>565158.170208969</v>
      </c>
      <c r="K67" s="18" t="n">
        <f aca="false">J67*(1+sig_SAU)</f>
        <v>610370.823825686</v>
      </c>
      <c r="L67" s="18" t="n">
        <f aca="false">K67/(1-load_SAU)</f>
        <v>871958.319750981</v>
      </c>
      <c r="M67" s="19" t="n">
        <f aca="false">L67*(1+tax_SAU)</f>
        <v>880677.902948491</v>
      </c>
      <c r="N67" s="18" t="n">
        <f aca="false">M67*(1+INDEX(Frac_Enc,4))/12</f>
        <v>76325.4182555358</v>
      </c>
      <c r="O67" s="18" t="n">
        <f aca="false">SUMPRODUCT(--($F$40:$F$56="B"),$S$40:$S$56,INDEX(RelMatrix,0,MATCH($D67,Rel_Keys,0)))</f>
        <v>1400285.02469868</v>
      </c>
      <c r="P67" s="18" t="n">
        <f aca="false">O67*(1+sig_SAU)</f>
        <v>1512307.82667458</v>
      </c>
      <c r="Q67" s="18" t="n">
        <f aca="false">P67/(1-load_SAU)</f>
        <v>2160439.75239225</v>
      </c>
      <c r="R67" s="19" t="n">
        <f aca="false">Q67*(1+tax_SAU)</f>
        <v>2182044.14991617</v>
      </c>
      <c r="S67" s="18" t="n">
        <f aca="false">R67*(1+INDEX(Frac_Enc,4))/12</f>
        <v>189110.492992735</v>
      </c>
      <c r="T67" s="29" t="n">
        <f aca="false">IF(C67="M",INDEX(Exp_M,MATCH(B67,Exp_Band,0)),INDEX(Exp_F,MATCH(B67,Exp_Band,0)))</f>
        <v>1500</v>
      </c>
    </row>
    <row r="68" customFormat="false" ht="15" hidden="false" customHeight="false" outlineLevel="0" collapsed="false">
      <c r="B68" s="21" t="s">
        <v>41</v>
      </c>
      <c r="C68" s="9" t="s">
        <v>321</v>
      </c>
      <c r="D68" s="9" t="str">
        <f aca="false">C68&amp;"|"&amp;B68</f>
        <v>F|51-65</v>
      </c>
      <c r="E68" s="46" t="n">
        <f aca="false">SUMPRODUCT(--($F$6:$F$22="B"),$S$6:$S$22,INDEX(RelMatrix,0,MATCH($D68,Rel_Keys,0)))</f>
        <v>198499.559656379</v>
      </c>
      <c r="F68" s="46" t="n">
        <f aca="false">E68*(1+sig_SAU)</f>
        <v>214379.524428889</v>
      </c>
      <c r="G68" s="46" t="n">
        <f aca="false">F68/(1-load_SAU)</f>
        <v>306256.463469841</v>
      </c>
      <c r="H68" s="19" t="n">
        <f aca="false">G68*(1+tax_SAU)</f>
        <v>309319.02810454</v>
      </c>
      <c r="I68" s="46" t="n">
        <f aca="false">H68*(1+INDEX(Frac_Enc,4))/12</f>
        <v>26807.6491023935</v>
      </c>
      <c r="J68" s="46" t="n">
        <f aca="false">SUMPRODUCT(--($F$23:$F$39="B"),$S$23:$S$39,INDEX(RelMatrix,0,MATCH($D68,Rel_Keys,0)))</f>
        <v>563798.811740058</v>
      </c>
      <c r="K68" s="46" t="n">
        <f aca="false">J68*(1+sig_SAU)</f>
        <v>608902.716679263</v>
      </c>
      <c r="L68" s="46" t="n">
        <f aca="false">K68/(1-load_SAU)</f>
        <v>869861.023827518</v>
      </c>
      <c r="M68" s="19" t="n">
        <f aca="false">L68*(1+tax_SAU)</f>
        <v>878559.634065793</v>
      </c>
      <c r="N68" s="46" t="n">
        <f aca="false">M68*(1+INDEX(Frac_Enc,4))/12</f>
        <v>76141.8349523688</v>
      </c>
      <c r="O68" s="46" t="n">
        <f aca="false">SUMPRODUCT(--($F$40:$F$56="B"),$S$40:$S$56,INDEX(RelMatrix,0,MATCH($D68,Rel_Keys,0)))</f>
        <v>1384464.24574688</v>
      </c>
      <c r="P68" s="46" t="n">
        <f aca="false">O68*(1+sig_SAU)</f>
        <v>1495221.38540663</v>
      </c>
      <c r="Q68" s="46" t="n">
        <f aca="false">P68/(1-load_SAU)</f>
        <v>2136030.55058091</v>
      </c>
      <c r="R68" s="19" t="n">
        <f aca="false">Q68*(1+tax_SAU)</f>
        <v>2157390.85608671</v>
      </c>
      <c r="S68" s="46" t="n">
        <f aca="false">R68*(1+INDEX(Frac_Enc,4))/12</f>
        <v>186973.874194182</v>
      </c>
      <c r="T68" s="30" t="n">
        <f aca="false">IF(C68="M",INDEX(Exp_M,MATCH(B68,Exp_Band,0)),INDEX(Exp_F,MATCH(B68,Exp_Band,0)))</f>
        <v>1200</v>
      </c>
    </row>
    <row r="69" customFormat="false" ht="15" hidden="false" customHeight="false" outlineLevel="0" collapsed="false">
      <c r="B69" s="16" t="s">
        <v>42</v>
      </c>
      <c r="C69" s="7" t="s">
        <v>320</v>
      </c>
      <c r="D69" s="7" t="str">
        <f aca="false">C69&amp;"|"&amp;B69</f>
        <v>M|&gt;65</v>
      </c>
      <c r="E69" s="18" t="n">
        <f aca="false">SUMPRODUCT(--($F$6:$F$22="B"),$S$6:$S$22,INDEX(RelMatrix,0,MATCH($D69,Rel_Keys,0)))</f>
        <v>316385.756210711</v>
      </c>
      <c r="F69" s="18" t="n">
        <f aca="false">E69*(1+sig_SAU)</f>
        <v>341696.616707568</v>
      </c>
      <c r="G69" s="18" t="n">
        <f aca="false">F69/(1-load_SAU)</f>
        <v>488138.023867954</v>
      </c>
      <c r="H69" s="19" t="n">
        <f aca="false">G69*(1+tax_SAU)</f>
        <v>493019.404106634</v>
      </c>
      <c r="I69" s="18" t="n">
        <f aca="false">H69*(1+INDEX(Frac_Enc,4))/12</f>
        <v>42728.3483559083</v>
      </c>
      <c r="J69" s="18" t="n">
        <f aca="false">SUMPRODUCT(--($F$23:$F$39="B"),$S$23:$S$39,INDEX(RelMatrix,0,MATCH($D69,Rel_Keys,0)))</f>
        <v>779012.365639817</v>
      </c>
      <c r="K69" s="18" t="n">
        <f aca="false">J69*(1+sig_SAU)</f>
        <v>841333.354891002</v>
      </c>
      <c r="L69" s="18" t="n">
        <f aca="false">K69/(1-load_SAU)</f>
        <v>1201904.79270143</v>
      </c>
      <c r="M69" s="19" t="n">
        <f aca="false">L69*(1+tax_SAU)</f>
        <v>1213923.84062845</v>
      </c>
      <c r="N69" s="18" t="n">
        <f aca="false">M69*(1+INDEX(Frac_Enc,4))/12</f>
        <v>105206.732854465</v>
      </c>
      <c r="O69" s="18" t="n">
        <f aca="false">SUMPRODUCT(--($F$40:$F$56="B"),$S$40:$S$56,INDEX(RelMatrix,0,MATCH($D69,Rel_Keys,0)))</f>
        <v>1866078.82175786</v>
      </c>
      <c r="P69" s="18" t="n">
        <f aca="false">O69*(1+sig_SAU)</f>
        <v>2015365.12749849</v>
      </c>
      <c r="Q69" s="18" t="n">
        <f aca="false">P69/(1-load_SAU)</f>
        <v>2879093.03928356</v>
      </c>
      <c r="R69" s="19" t="n">
        <f aca="false">Q69*(1+tax_SAU)</f>
        <v>2907883.9696764</v>
      </c>
      <c r="S69" s="18" t="n">
        <f aca="false">R69*(1+INDEX(Frac_Enc,4))/12</f>
        <v>252016.610705288</v>
      </c>
      <c r="T69" s="29" t="n">
        <f aca="false">IF(C69="M",INDEX(Exp_M,MATCH(B69,Exp_Band,0)),INDEX(Exp_F,MATCH(B69,Exp_Band,0)))</f>
        <v>450</v>
      </c>
    </row>
    <row r="70" customFormat="false" ht="15" hidden="false" customHeight="false" outlineLevel="0" collapsed="false">
      <c r="B70" s="21" t="s">
        <v>42</v>
      </c>
      <c r="C70" s="9" t="s">
        <v>321</v>
      </c>
      <c r="D70" s="9" t="str">
        <f aca="false">C70&amp;"|"&amp;B70</f>
        <v>F|&gt;65</v>
      </c>
      <c r="E70" s="46" t="n">
        <f aca="false">SUMPRODUCT(--($F$6:$F$22="B"),$S$6:$S$22,INDEX(RelMatrix,0,MATCH($D70,Rel_Keys,0)))</f>
        <v>289420.079050001</v>
      </c>
      <c r="F70" s="46" t="n">
        <f aca="false">E70*(1+sig_SAU)</f>
        <v>312573.685374001</v>
      </c>
      <c r="G70" s="46" t="n">
        <f aca="false">F70/(1-load_SAU)</f>
        <v>446533.836248573</v>
      </c>
      <c r="H70" s="19" t="n">
        <f aca="false">G70*(1+tax_SAU)</f>
        <v>450999.174611059</v>
      </c>
      <c r="I70" s="46" t="n">
        <f aca="false">H70*(1+INDEX(Frac_Enc,4))/12</f>
        <v>39086.5951329584</v>
      </c>
      <c r="J70" s="46" t="n">
        <f aca="false">SUMPRODUCT(--($F$23:$F$39="B"),$S$23:$S$39,INDEX(RelMatrix,0,MATCH($D70,Rel_Keys,0)))</f>
        <v>748531.94123238</v>
      </c>
      <c r="K70" s="46" t="n">
        <f aca="false">J70*(1+sig_SAU)</f>
        <v>808414.49653097</v>
      </c>
      <c r="L70" s="46" t="n">
        <f aca="false">K70/(1-load_SAU)</f>
        <v>1154877.8521871</v>
      </c>
      <c r="M70" s="19" t="n">
        <f aca="false">L70*(1+tax_SAU)</f>
        <v>1166426.63070897</v>
      </c>
      <c r="N70" s="46" t="n">
        <f aca="false">M70*(1+INDEX(Frac_Enc,4))/12</f>
        <v>101090.307994778</v>
      </c>
      <c r="O70" s="46" t="n">
        <f aca="false">SUMPRODUCT(--($F$40:$F$56="B"),$S$40:$S$56,INDEX(RelMatrix,0,MATCH($D70,Rel_Keys,0)))</f>
        <v>1779600.08882907</v>
      </c>
      <c r="P70" s="46" t="n">
        <f aca="false">O70*(1+sig_SAU)</f>
        <v>1921968.0959354</v>
      </c>
      <c r="Q70" s="46" t="n">
        <f aca="false">P70/(1-load_SAU)</f>
        <v>2745668.70847914</v>
      </c>
      <c r="R70" s="19" t="n">
        <f aca="false">Q70*(1+tax_SAU)</f>
        <v>2773125.39556393</v>
      </c>
      <c r="S70" s="46" t="n">
        <f aca="false">R70*(1+INDEX(Frac_Enc,4))/12</f>
        <v>240337.534282208</v>
      </c>
      <c r="T70" s="30" t="n">
        <f aca="false">IF(C70="M",INDEX(Exp_M,MATCH(B70,Exp_Band,0)),INDEX(Exp_F,MATCH(B70,Exp_Band,0)))</f>
        <v>400</v>
      </c>
    </row>
    <row r="71" customFormat="false" ht="15" hidden="false" customHeight="false" outlineLevel="0" collapsed="false">
      <c r="B71" s="16" t="s">
        <v>322</v>
      </c>
      <c r="C71" s="7"/>
      <c r="D71" s="7"/>
      <c r="E71" s="49" t="n">
        <f aca="false">SUMPRODUCT(E61:E70,$T$61:$T$70)/SUM($T$61:$T$70)</f>
        <v>124770.863392838</v>
      </c>
      <c r="F71" s="49" t="n">
        <f aca="false">SUMPRODUCT(F61:F70,$T$61:$T$70)/SUM($T$61:$T$70)</f>
        <v>134752.532464266</v>
      </c>
      <c r="G71" s="49" t="n">
        <f aca="false">SUMPRODUCT(G61:G70,$T$61:$T$70)/SUM($T$61:$T$70)</f>
        <v>192503.617806094</v>
      </c>
      <c r="H71" s="49" t="n">
        <f aca="false">SUMPRODUCT(H61:H70,$T$61:$T$70)/SUM($T$61:$T$70)</f>
        <v>194428.653984155</v>
      </c>
      <c r="I71" s="49" t="n">
        <f aca="false">SUMPRODUCT(I61:I70,$T$61:$T$70)/SUM($T$61:$T$70)</f>
        <v>16850.4833452934</v>
      </c>
      <c r="J71" s="49" t="n">
        <f aca="false">SUMPRODUCT(J61:J70,$T$61:$T$70)/SUM($T$61:$T$70)</f>
        <v>368009.044217085</v>
      </c>
      <c r="K71" s="49" t="n">
        <f aca="false">SUMPRODUCT(K61:K70,$T$61:$T$70)/SUM($T$61:$T$70)</f>
        <v>397449.767754451</v>
      </c>
      <c r="L71" s="49" t="n">
        <f aca="false">SUMPRODUCT(L61:L70,$T$61:$T$70)/SUM($T$61:$T$70)</f>
        <v>567785.382506359</v>
      </c>
      <c r="M71" s="49" t="n">
        <f aca="false">SUMPRODUCT(M61:M70,$T$61:$T$70)/SUM($T$61:$T$70)</f>
        <v>573463.236331423</v>
      </c>
      <c r="N71" s="49" t="n">
        <f aca="false">SUMPRODUCT(N61:N70,$T$61:$T$70)/SUM($T$61:$T$70)</f>
        <v>49700.1471487233</v>
      </c>
      <c r="O71" s="49" t="n">
        <f aca="false">SUMPRODUCT(O61:O70,$T$61:$T$70)/SUM($T$61:$T$70)</f>
        <v>854912.046679071</v>
      </c>
      <c r="P71" s="49" t="n">
        <f aca="false">SUMPRODUCT(P61:P70,$T$61:$T$70)/SUM($T$61:$T$70)</f>
        <v>923305.010413396</v>
      </c>
      <c r="Q71" s="49" t="n">
        <f aca="false">SUMPRODUCT(Q61:Q70,$T$61:$T$70)/SUM($T$61:$T$70)</f>
        <v>1319007.15773342</v>
      </c>
      <c r="R71" s="49" t="n">
        <f aca="false">SUMPRODUCT(R61:R70,$T$61:$T$70)/SUM($T$61:$T$70)</f>
        <v>1332197.22931076</v>
      </c>
      <c r="S71" s="49" t="n">
        <f aca="false">SUMPRODUCT(S61:S70,$T$61:$T$70)/SUM($T$61:$T$70)</f>
        <v>115457.093206932</v>
      </c>
      <c r="T71" s="31" t="n">
        <f aca="false">SUM(T61:T70)</f>
        <v>24650</v>
      </c>
    </row>
    <row r="74" customFormat="false" ht="15" hidden="false" customHeight="false" outlineLevel="0" collapsed="false">
      <c r="A74" s="4" t="s">
        <v>323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customFormat="false" ht="31.5" hidden="false" customHeight="true" outlineLevel="0" collapsed="false">
      <c r="B75" s="6"/>
      <c r="C75" s="6" t="s">
        <v>118</v>
      </c>
      <c r="D75" s="50" t="s">
        <v>295</v>
      </c>
      <c r="E75" s="50"/>
      <c r="F75" s="50"/>
      <c r="G75" s="50"/>
      <c r="H75" s="50"/>
      <c r="I75" s="50" t="s">
        <v>299</v>
      </c>
      <c r="J75" s="50"/>
      <c r="K75" s="50"/>
      <c r="L75" s="50"/>
      <c r="M75" s="50"/>
      <c r="N75" s="50" t="s">
        <v>300</v>
      </c>
      <c r="O75" s="50"/>
      <c r="P75" s="50"/>
      <c r="Q75" s="50"/>
      <c r="R75" s="50"/>
    </row>
    <row r="76" customFormat="false" ht="19.5" hidden="false" customHeight="true" outlineLevel="0" collapsed="false">
      <c r="B76" s="6" t="s">
        <v>45</v>
      </c>
      <c r="C76" s="6" t="s">
        <v>118</v>
      </c>
      <c r="D76" s="6" t="s">
        <v>38</v>
      </c>
      <c r="E76" s="6" t="s">
        <v>39</v>
      </c>
      <c r="F76" s="6" t="s">
        <v>40</v>
      </c>
      <c r="G76" s="6" t="s">
        <v>41</v>
      </c>
      <c r="H76" s="6" t="s">
        <v>42</v>
      </c>
      <c r="I76" s="6" t="s">
        <v>38</v>
      </c>
      <c r="J76" s="6" t="s">
        <v>39</v>
      </c>
      <c r="K76" s="6" t="s">
        <v>40</v>
      </c>
      <c r="L76" s="6" t="s">
        <v>41</v>
      </c>
      <c r="M76" s="6" t="s">
        <v>42</v>
      </c>
      <c r="N76" s="6" t="s">
        <v>38</v>
      </c>
      <c r="O76" s="6" t="s">
        <v>39</v>
      </c>
      <c r="P76" s="6" t="s">
        <v>40</v>
      </c>
      <c r="Q76" s="6" t="s">
        <v>41</v>
      </c>
      <c r="R76" s="6" t="s">
        <v>42</v>
      </c>
    </row>
    <row r="77" customFormat="false" ht="15" hidden="false" customHeight="false" outlineLevel="0" collapsed="false">
      <c r="B77" s="16" t="s">
        <v>132</v>
      </c>
      <c r="C77" s="32" t="str">
        <f aca="false">INDEX(Cov_Nome,MATCH(B77,Cov_Cod,0))</f>
        <v>Internamento Hospitalar Médico (incl. malária grave)</v>
      </c>
      <c r="D77" s="51" t="str">
        <f aca="false">IF(INDEX(SAU_Status,MATCH("Base|"&amp;$B77,SAU_Key,0))="O",INDEX(SAU_PP,MATCH("Base|"&amp;$B77,SAU_Key,0))*INDEX(RelUni,MATCH($B77,Cov_Cod,0),1)*(1+sig_SAU)/(1-load_SAU)*(1+tax_SAU),IF(INDEX(SAU_Status,MATCH("Base|"&amp;$B77,SAU_Key,0))="B","Incluída","n.d."))</f>
        <v>Incluída</v>
      </c>
      <c r="E77" s="51" t="str">
        <f aca="false">IF(INDEX(SAU_Status,MATCH("Base|"&amp;$B77,SAU_Key,0))="O",INDEX(SAU_PP,MATCH("Base|"&amp;$B77,SAU_Key,0))*INDEX(RelUni,MATCH($B77,Cov_Cod,0),2)*(1+sig_SAU)/(1-load_SAU)*(1+tax_SAU),IF(INDEX(SAU_Status,MATCH("Base|"&amp;$B77,SAU_Key,0))="B","Incluída","n.d."))</f>
        <v>Incluída</v>
      </c>
      <c r="F77" s="51" t="str">
        <f aca="false">IF(INDEX(SAU_Status,MATCH("Base|"&amp;$B77,SAU_Key,0))="O",INDEX(SAU_PP,MATCH("Base|"&amp;$B77,SAU_Key,0))*INDEX(RelUni,MATCH($B77,Cov_Cod,0),3)*(1+sig_SAU)/(1-load_SAU)*(1+tax_SAU),IF(INDEX(SAU_Status,MATCH("Base|"&amp;$B77,SAU_Key,0))="B","Incluída","n.d."))</f>
        <v>Incluída</v>
      </c>
      <c r="G77" s="51" t="str">
        <f aca="false">IF(INDEX(SAU_Status,MATCH("Base|"&amp;$B77,SAU_Key,0))="O",INDEX(SAU_PP,MATCH("Base|"&amp;$B77,SAU_Key,0))*INDEX(RelUni,MATCH($B77,Cov_Cod,0),4)*(1+sig_SAU)/(1-load_SAU)*(1+tax_SAU),IF(INDEX(SAU_Status,MATCH("Base|"&amp;$B77,SAU_Key,0))="B","Incluída","n.d."))</f>
        <v>Incluída</v>
      </c>
      <c r="H77" s="51" t="str">
        <f aca="false">IF(INDEX(SAU_Status,MATCH("Base|"&amp;$B77,SAU_Key,0))="O",INDEX(SAU_PP,MATCH("Base|"&amp;$B77,SAU_Key,0))*INDEX(RelUni,MATCH($B77,Cov_Cod,0),5)*(1+sig_SAU)/(1-load_SAU)*(1+tax_SAU),IF(INDEX(SAU_Status,MATCH("Base|"&amp;$B77,SAU_Key,0))="B","Incluída","n.d."))</f>
        <v>Incluída</v>
      </c>
      <c r="I77" s="51" t="str">
        <f aca="false">IF(INDEX(SAU_Status,MATCH("Conforto|"&amp;$B77,SAU_Key,0))="O",INDEX(SAU_PP,MATCH("Conforto|"&amp;$B77,SAU_Key,0))*INDEX(RelUni,MATCH($B77,Cov_Cod,0),1)*(1+sig_SAU)/(1-load_SAU)*(1+tax_SAU),IF(INDEX(SAU_Status,MATCH("Conforto|"&amp;$B77,SAU_Key,0))="B","Incluída","n.d."))</f>
        <v>Incluída</v>
      </c>
      <c r="J77" s="51" t="str">
        <f aca="false">IF(INDEX(SAU_Status,MATCH("Conforto|"&amp;$B77,SAU_Key,0))="O",INDEX(SAU_PP,MATCH("Conforto|"&amp;$B77,SAU_Key,0))*INDEX(RelUni,MATCH($B77,Cov_Cod,0),2)*(1+sig_SAU)/(1-load_SAU)*(1+tax_SAU),IF(INDEX(SAU_Status,MATCH("Conforto|"&amp;$B77,SAU_Key,0))="B","Incluída","n.d."))</f>
        <v>Incluída</v>
      </c>
      <c r="K77" s="51" t="str">
        <f aca="false">IF(INDEX(SAU_Status,MATCH("Conforto|"&amp;$B77,SAU_Key,0))="O",INDEX(SAU_PP,MATCH("Conforto|"&amp;$B77,SAU_Key,0))*INDEX(RelUni,MATCH($B77,Cov_Cod,0),3)*(1+sig_SAU)/(1-load_SAU)*(1+tax_SAU),IF(INDEX(SAU_Status,MATCH("Conforto|"&amp;$B77,SAU_Key,0))="B","Incluída","n.d."))</f>
        <v>Incluída</v>
      </c>
      <c r="L77" s="51" t="str">
        <f aca="false">IF(INDEX(SAU_Status,MATCH("Conforto|"&amp;$B77,SAU_Key,0))="O",INDEX(SAU_PP,MATCH("Conforto|"&amp;$B77,SAU_Key,0))*INDEX(RelUni,MATCH($B77,Cov_Cod,0),4)*(1+sig_SAU)/(1-load_SAU)*(1+tax_SAU),IF(INDEX(SAU_Status,MATCH("Conforto|"&amp;$B77,SAU_Key,0))="B","Incluída","n.d."))</f>
        <v>Incluída</v>
      </c>
      <c r="M77" s="51" t="str">
        <f aca="false">IF(INDEX(SAU_Status,MATCH("Conforto|"&amp;$B77,SAU_Key,0))="O",INDEX(SAU_PP,MATCH("Conforto|"&amp;$B77,SAU_Key,0))*INDEX(RelUni,MATCH($B77,Cov_Cod,0),5)*(1+sig_SAU)/(1-load_SAU)*(1+tax_SAU),IF(INDEX(SAU_Status,MATCH("Conforto|"&amp;$B77,SAU_Key,0))="B","Incluída","n.d."))</f>
        <v>Incluída</v>
      </c>
      <c r="N77" s="51" t="str">
        <f aca="false">IF(INDEX(SAU_Status,MATCH("Premium|"&amp;$B77,SAU_Key,0))="O",INDEX(SAU_PP,MATCH("Premium|"&amp;$B77,SAU_Key,0))*INDEX(RelUni,MATCH($B77,Cov_Cod,0),1)*(1+sig_SAU)/(1-load_SAU)*(1+tax_SAU),IF(INDEX(SAU_Status,MATCH("Premium|"&amp;$B77,SAU_Key,0))="B","Incluída","n.d."))</f>
        <v>Incluída</v>
      </c>
      <c r="O77" s="51" t="str">
        <f aca="false">IF(INDEX(SAU_Status,MATCH("Premium|"&amp;$B77,SAU_Key,0))="O",INDEX(SAU_PP,MATCH("Premium|"&amp;$B77,SAU_Key,0))*INDEX(RelUni,MATCH($B77,Cov_Cod,0),2)*(1+sig_SAU)/(1-load_SAU)*(1+tax_SAU),IF(INDEX(SAU_Status,MATCH("Premium|"&amp;$B77,SAU_Key,0))="B","Incluída","n.d."))</f>
        <v>Incluída</v>
      </c>
      <c r="P77" s="51" t="str">
        <f aca="false">IF(INDEX(SAU_Status,MATCH("Premium|"&amp;$B77,SAU_Key,0))="O",INDEX(SAU_PP,MATCH("Premium|"&amp;$B77,SAU_Key,0))*INDEX(RelUni,MATCH($B77,Cov_Cod,0),3)*(1+sig_SAU)/(1-load_SAU)*(1+tax_SAU),IF(INDEX(SAU_Status,MATCH("Premium|"&amp;$B77,SAU_Key,0))="B","Incluída","n.d."))</f>
        <v>Incluída</v>
      </c>
      <c r="Q77" s="51" t="str">
        <f aca="false">IF(INDEX(SAU_Status,MATCH("Premium|"&amp;$B77,SAU_Key,0))="O",INDEX(SAU_PP,MATCH("Premium|"&amp;$B77,SAU_Key,0))*INDEX(RelUni,MATCH($B77,Cov_Cod,0),4)*(1+sig_SAU)/(1-load_SAU)*(1+tax_SAU),IF(INDEX(SAU_Status,MATCH("Premium|"&amp;$B77,SAU_Key,0))="B","Incluída","n.d."))</f>
        <v>Incluída</v>
      </c>
      <c r="R77" s="51" t="str">
        <f aca="false">IF(INDEX(SAU_Status,MATCH("Premium|"&amp;$B77,SAU_Key,0))="O",INDEX(SAU_PP,MATCH("Premium|"&amp;$B77,SAU_Key,0))*INDEX(RelUni,MATCH($B77,Cov_Cod,0),5)*(1+sig_SAU)/(1-load_SAU)*(1+tax_SAU),IF(INDEX(SAU_Status,MATCH("Premium|"&amp;$B77,SAU_Key,0))="B","Incluída","n.d."))</f>
        <v>Incluída</v>
      </c>
    </row>
    <row r="78" customFormat="false" ht="15" hidden="false" customHeight="false" outlineLevel="0" collapsed="false">
      <c r="B78" s="21" t="s">
        <v>139</v>
      </c>
      <c r="C78" s="38" t="str">
        <f aca="false">INDEX(Cov_Nome,MATCH(B78,Cov_Cod,0))</f>
        <v>Cirurgia (com internamento e de ambulatório)</v>
      </c>
      <c r="D78" s="52" t="str">
        <f aca="false">IF(INDEX(SAU_Status,MATCH("Base|"&amp;$B78,SAU_Key,0))="O",INDEX(SAU_PP,MATCH("Base|"&amp;$B78,SAU_Key,0))*INDEX(RelUni,MATCH($B78,Cov_Cod,0),1)*(1+sig_SAU)/(1-load_SAU)*(1+tax_SAU),IF(INDEX(SAU_Status,MATCH("Base|"&amp;$B78,SAU_Key,0))="B","Incluída","n.d."))</f>
        <v>Incluída</v>
      </c>
      <c r="E78" s="52" t="str">
        <f aca="false">IF(INDEX(SAU_Status,MATCH("Base|"&amp;$B78,SAU_Key,0))="O",INDEX(SAU_PP,MATCH("Base|"&amp;$B78,SAU_Key,0))*INDEX(RelUni,MATCH($B78,Cov_Cod,0),2)*(1+sig_SAU)/(1-load_SAU)*(1+tax_SAU),IF(INDEX(SAU_Status,MATCH("Base|"&amp;$B78,SAU_Key,0))="B","Incluída","n.d."))</f>
        <v>Incluída</v>
      </c>
      <c r="F78" s="52" t="str">
        <f aca="false">IF(INDEX(SAU_Status,MATCH("Base|"&amp;$B78,SAU_Key,0))="O",INDEX(SAU_PP,MATCH("Base|"&amp;$B78,SAU_Key,0))*INDEX(RelUni,MATCH($B78,Cov_Cod,0),3)*(1+sig_SAU)/(1-load_SAU)*(1+tax_SAU),IF(INDEX(SAU_Status,MATCH("Base|"&amp;$B78,SAU_Key,0))="B","Incluída","n.d."))</f>
        <v>Incluída</v>
      </c>
      <c r="G78" s="52" t="str">
        <f aca="false">IF(INDEX(SAU_Status,MATCH("Base|"&amp;$B78,SAU_Key,0))="O",INDEX(SAU_PP,MATCH("Base|"&amp;$B78,SAU_Key,0))*INDEX(RelUni,MATCH($B78,Cov_Cod,0),4)*(1+sig_SAU)/(1-load_SAU)*(1+tax_SAU),IF(INDEX(SAU_Status,MATCH("Base|"&amp;$B78,SAU_Key,0))="B","Incluída","n.d."))</f>
        <v>Incluída</v>
      </c>
      <c r="H78" s="52" t="str">
        <f aca="false">IF(INDEX(SAU_Status,MATCH("Base|"&amp;$B78,SAU_Key,0))="O",INDEX(SAU_PP,MATCH("Base|"&amp;$B78,SAU_Key,0))*INDEX(RelUni,MATCH($B78,Cov_Cod,0),5)*(1+sig_SAU)/(1-load_SAU)*(1+tax_SAU),IF(INDEX(SAU_Status,MATCH("Base|"&amp;$B78,SAU_Key,0))="B","Incluída","n.d."))</f>
        <v>Incluída</v>
      </c>
      <c r="I78" s="52" t="str">
        <f aca="false">IF(INDEX(SAU_Status,MATCH("Conforto|"&amp;$B78,SAU_Key,0))="O",INDEX(SAU_PP,MATCH("Conforto|"&amp;$B78,SAU_Key,0))*INDEX(RelUni,MATCH($B78,Cov_Cod,0),1)*(1+sig_SAU)/(1-load_SAU)*(1+tax_SAU),IF(INDEX(SAU_Status,MATCH("Conforto|"&amp;$B78,SAU_Key,0))="B","Incluída","n.d."))</f>
        <v>Incluída</v>
      </c>
      <c r="J78" s="52" t="str">
        <f aca="false">IF(INDEX(SAU_Status,MATCH("Conforto|"&amp;$B78,SAU_Key,0))="O",INDEX(SAU_PP,MATCH("Conforto|"&amp;$B78,SAU_Key,0))*INDEX(RelUni,MATCH($B78,Cov_Cod,0),2)*(1+sig_SAU)/(1-load_SAU)*(1+tax_SAU),IF(INDEX(SAU_Status,MATCH("Conforto|"&amp;$B78,SAU_Key,0))="B","Incluída","n.d."))</f>
        <v>Incluída</v>
      </c>
      <c r="K78" s="52" t="str">
        <f aca="false">IF(INDEX(SAU_Status,MATCH("Conforto|"&amp;$B78,SAU_Key,0))="O",INDEX(SAU_PP,MATCH("Conforto|"&amp;$B78,SAU_Key,0))*INDEX(RelUni,MATCH($B78,Cov_Cod,0),3)*(1+sig_SAU)/(1-load_SAU)*(1+tax_SAU),IF(INDEX(SAU_Status,MATCH("Conforto|"&amp;$B78,SAU_Key,0))="B","Incluída","n.d."))</f>
        <v>Incluída</v>
      </c>
      <c r="L78" s="52" t="str">
        <f aca="false">IF(INDEX(SAU_Status,MATCH("Conforto|"&amp;$B78,SAU_Key,0))="O",INDEX(SAU_PP,MATCH("Conforto|"&amp;$B78,SAU_Key,0))*INDEX(RelUni,MATCH($B78,Cov_Cod,0),4)*(1+sig_SAU)/(1-load_SAU)*(1+tax_SAU),IF(INDEX(SAU_Status,MATCH("Conforto|"&amp;$B78,SAU_Key,0))="B","Incluída","n.d."))</f>
        <v>Incluída</v>
      </c>
      <c r="M78" s="52" t="str">
        <f aca="false">IF(INDEX(SAU_Status,MATCH("Conforto|"&amp;$B78,SAU_Key,0))="O",INDEX(SAU_PP,MATCH("Conforto|"&amp;$B78,SAU_Key,0))*INDEX(RelUni,MATCH($B78,Cov_Cod,0),5)*(1+sig_SAU)/(1-load_SAU)*(1+tax_SAU),IF(INDEX(SAU_Status,MATCH("Conforto|"&amp;$B78,SAU_Key,0))="B","Incluída","n.d."))</f>
        <v>Incluída</v>
      </c>
      <c r="N78" s="52" t="str">
        <f aca="false">IF(INDEX(SAU_Status,MATCH("Premium|"&amp;$B78,SAU_Key,0))="O",INDEX(SAU_PP,MATCH("Premium|"&amp;$B78,SAU_Key,0))*INDEX(RelUni,MATCH($B78,Cov_Cod,0),1)*(1+sig_SAU)/(1-load_SAU)*(1+tax_SAU),IF(INDEX(SAU_Status,MATCH("Premium|"&amp;$B78,SAU_Key,0))="B","Incluída","n.d."))</f>
        <v>Incluída</v>
      </c>
      <c r="O78" s="52" t="str">
        <f aca="false">IF(INDEX(SAU_Status,MATCH("Premium|"&amp;$B78,SAU_Key,0))="O",INDEX(SAU_PP,MATCH("Premium|"&amp;$B78,SAU_Key,0))*INDEX(RelUni,MATCH($B78,Cov_Cod,0),2)*(1+sig_SAU)/(1-load_SAU)*(1+tax_SAU),IF(INDEX(SAU_Status,MATCH("Premium|"&amp;$B78,SAU_Key,0))="B","Incluída","n.d."))</f>
        <v>Incluída</v>
      </c>
      <c r="P78" s="52" t="str">
        <f aca="false">IF(INDEX(SAU_Status,MATCH("Premium|"&amp;$B78,SAU_Key,0))="O",INDEX(SAU_PP,MATCH("Premium|"&amp;$B78,SAU_Key,0))*INDEX(RelUni,MATCH($B78,Cov_Cod,0),3)*(1+sig_SAU)/(1-load_SAU)*(1+tax_SAU),IF(INDEX(SAU_Status,MATCH("Premium|"&amp;$B78,SAU_Key,0))="B","Incluída","n.d."))</f>
        <v>Incluída</v>
      </c>
      <c r="Q78" s="52" t="str">
        <f aca="false">IF(INDEX(SAU_Status,MATCH("Premium|"&amp;$B78,SAU_Key,0))="O",INDEX(SAU_PP,MATCH("Premium|"&amp;$B78,SAU_Key,0))*INDEX(RelUni,MATCH($B78,Cov_Cod,0),4)*(1+sig_SAU)/(1-load_SAU)*(1+tax_SAU),IF(INDEX(SAU_Status,MATCH("Premium|"&amp;$B78,SAU_Key,0))="B","Incluída","n.d."))</f>
        <v>Incluída</v>
      </c>
      <c r="R78" s="52" t="str">
        <f aca="false">IF(INDEX(SAU_Status,MATCH("Premium|"&amp;$B78,SAU_Key,0))="O",INDEX(SAU_PP,MATCH("Premium|"&amp;$B78,SAU_Key,0))*INDEX(RelUni,MATCH($B78,Cov_Cod,0),5)*(1+sig_SAU)/(1-load_SAU)*(1+tax_SAU),IF(INDEX(SAU_Status,MATCH("Premium|"&amp;$B78,SAU_Key,0))="B","Incluída","n.d."))</f>
        <v>Incluída</v>
      </c>
    </row>
    <row r="79" customFormat="false" ht="15" hidden="false" customHeight="false" outlineLevel="0" collapsed="false">
      <c r="B79" s="16" t="s">
        <v>143</v>
      </c>
      <c r="C79" s="32" t="str">
        <f aca="false">INDEX(Cov_Nome,MATCH(B79,Cov_Cod,0))</f>
        <v>Cuidados Intensivos (UCI)</v>
      </c>
      <c r="D79" s="51" t="str">
        <f aca="false">IF(INDEX(SAU_Status,MATCH("Base|"&amp;$B79,SAU_Key,0))="O",INDEX(SAU_PP,MATCH("Base|"&amp;$B79,SAU_Key,0))*INDEX(RelUni,MATCH($B79,Cov_Cod,0),1)*(1+sig_SAU)/(1-load_SAU)*(1+tax_SAU),IF(INDEX(SAU_Status,MATCH("Base|"&amp;$B79,SAU_Key,0))="B","Incluída","n.d."))</f>
        <v>Incluída</v>
      </c>
      <c r="E79" s="51" t="str">
        <f aca="false">IF(INDEX(SAU_Status,MATCH("Base|"&amp;$B79,SAU_Key,0))="O",INDEX(SAU_PP,MATCH("Base|"&amp;$B79,SAU_Key,0))*INDEX(RelUni,MATCH($B79,Cov_Cod,0),2)*(1+sig_SAU)/(1-load_SAU)*(1+tax_SAU),IF(INDEX(SAU_Status,MATCH("Base|"&amp;$B79,SAU_Key,0))="B","Incluída","n.d."))</f>
        <v>Incluída</v>
      </c>
      <c r="F79" s="51" t="str">
        <f aca="false">IF(INDEX(SAU_Status,MATCH("Base|"&amp;$B79,SAU_Key,0))="O",INDEX(SAU_PP,MATCH("Base|"&amp;$B79,SAU_Key,0))*INDEX(RelUni,MATCH($B79,Cov_Cod,0),3)*(1+sig_SAU)/(1-load_SAU)*(1+tax_SAU),IF(INDEX(SAU_Status,MATCH("Base|"&amp;$B79,SAU_Key,0))="B","Incluída","n.d."))</f>
        <v>Incluída</v>
      </c>
      <c r="G79" s="51" t="str">
        <f aca="false">IF(INDEX(SAU_Status,MATCH("Base|"&amp;$B79,SAU_Key,0))="O",INDEX(SAU_PP,MATCH("Base|"&amp;$B79,SAU_Key,0))*INDEX(RelUni,MATCH($B79,Cov_Cod,0),4)*(1+sig_SAU)/(1-load_SAU)*(1+tax_SAU),IF(INDEX(SAU_Status,MATCH("Base|"&amp;$B79,SAU_Key,0))="B","Incluída","n.d."))</f>
        <v>Incluída</v>
      </c>
      <c r="H79" s="51" t="str">
        <f aca="false">IF(INDEX(SAU_Status,MATCH("Base|"&amp;$B79,SAU_Key,0))="O",INDEX(SAU_PP,MATCH("Base|"&amp;$B79,SAU_Key,0))*INDEX(RelUni,MATCH($B79,Cov_Cod,0),5)*(1+sig_SAU)/(1-load_SAU)*(1+tax_SAU),IF(INDEX(SAU_Status,MATCH("Base|"&amp;$B79,SAU_Key,0))="B","Incluída","n.d."))</f>
        <v>Incluída</v>
      </c>
      <c r="I79" s="51" t="str">
        <f aca="false">IF(INDEX(SAU_Status,MATCH("Conforto|"&amp;$B79,SAU_Key,0))="O",INDEX(SAU_PP,MATCH("Conforto|"&amp;$B79,SAU_Key,0))*INDEX(RelUni,MATCH($B79,Cov_Cod,0),1)*(1+sig_SAU)/(1-load_SAU)*(1+tax_SAU),IF(INDEX(SAU_Status,MATCH("Conforto|"&amp;$B79,SAU_Key,0))="B","Incluída","n.d."))</f>
        <v>Incluída</v>
      </c>
      <c r="J79" s="51" t="str">
        <f aca="false">IF(INDEX(SAU_Status,MATCH("Conforto|"&amp;$B79,SAU_Key,0))="O",INDEX(SAU_PP,MATCH("Conforto|"&amp;$B79,SAU_Key,0))*INDEX(RelUni,MATCH($B79,Cov_Cod,0),2)*(1+sig_SAU)/(1-load_SAU)*(1+tax_SAU),IF(INDEX(SAU_Status,MATCH("Conforto|"&amp;$B79,SAU_Key,0))="B","Incluída","n.d."))</f>
        <v>Incluída</v>
      </c>
      <c r="K79" s="51" t="str">
        <f aca="false">IF(INDEX(SAU_Status,MATCH("Conforto|"&amp;$B79,SAU_Key,0))="O",INDEX(SAU_PP,MATCH("Conforto|"&amp;$B79,SAU_Key,0))*INDEX(RelUni,MATCH($B79,Cov_Cod,0),3)*(1+sig_SAU)/(1-load_SAU)*(1+tax_SAU),IF(INDEX(SAU_Status,MATCH("Conforto|"&amp;$B79,SAU_Key,0))="B","Incluída","n.d."))</f>
        <v>Incluída</v>
      </c>
      <c r="L79" s="51" t="str">
        <f aca="false">IF(INDEX(SAU_Status,MATCH("Conforto|"&amp;$B79,SAU_Key,0))="O",INDEX(SAU_PP,MATCH("Conforto|"&amp;$B79,SAU_Key,0))*INDEX(RelUni,MATCH($B79,Cov_Cod,0),4)*(1+sig_SAU)/(1-load_SAU)*(1+tax_SAU),IF(INDEX(SAU_Status,MATCH("Conforto|"&amp;$B79,SAU_Key,0))="B","Incluída","n.d."))</f>
        <v>Incluída</v>
      </c>
      <c r="M79" s="51" t="str">
        <f aca="false">IF(INDEX(SAU_Status,MATCH("Conforto|"&amp;$B79,SAU_Key,0))="O",INDEX(SAU_PP,MATCH("Conforto|"&amp;$B79,SAU_Key,0))*INDEX(RelUni,MATCH($B79,Cov_Cod,0),5)*(1+sig_SAU)/(1-load_SAU)*(1+tax_SAU),IF(INDEX(SAU_Status,MATCH("Conforto|"&amp;$B79,SAU_Key,0))="B","Incluída","n.d."))</f>
        <v>Incluída</v>
      </c>
      <c r="N79" s="51" t="str">
        <f aca="false">IF(INDEX(SAU_Status,MATCH("Premium|"&amp;$B79,SAU_Key,0))="O",INDEX(SAU_PP,MATCH("Premium|"&amp;$B79,SAU_Key,0))*INDEX(RelUni,MATCH($B79,Cov_Cod,0),1)*(1+sig_SAU)/(1-load_SAU)*(1+tax_SAU),IF(INDEX(SAU_Status,MATCH("Premium|"&amp;$B79,SAU_Key,0))="B","Incluída","n.d."))</f>
        <v>Incluída</v>
      </c>
      <c r="O79" s="51" t="str">
        <f aca="false">IF(INDEX(SAU_Status,MATCH("Premium|"&amp;$B79,SAU_Key,0))="O",INDEX(SAU_PP,MATCH("Premium|"&amp;$B79,SAU_Key,0))*INDEX(RelUni,MATCH($B79,Cov_Cod,0),2)*(1+sig_SAU)/(1-load_SAU)*(1+tax_SAU),IF(INDEX(SAU_Status,MATCH("Premium|"&amp;$B79,SAU_Key,0))="B","Incluída","n.d."))</f>
        <v>Incluída</v>
      </c>
      <c r="P79" s="51" t="str">
        <f aca="false">IF(INDEX(SAU_Status,MATCH("Premium|"&amp;$B79,SAU_Key,0))="O",INDEX(SAU_PP,MATCH("Premium|"&amp;$B79,SAU_Key,0))*INDEX(RelUni,MATCH($B79,Cov_Cod,0),3)*(1+sig_SAU)/(1-load_SAU)*(1+tax_SAU),IF(INDEX(SAU_Status,MATCH("Premium|"&amp;$B79,SAU_Key,0))="B","Incluída","n.d."))</f>
        <v>Incluída</v>
      </c>
      <c r="Q79" s="51" t="str">
        <f aca="false">IF(INDEX(SAU_Status,MATCH("Premium|"&amp;$B79,SAU_Key,0))="O",INDEX(SAU_PP,MATCH("Premium|"&amp;$B79,SAU_Key,0))*INDEX(RelUni,MATCH($B79,Cov_Cod,0),4)*(1+sig_SAU)/(1-load_SAU)*(1+tax_SAU),IF(INDEX(SAU_Status,MATCH("Premium|"&amp;$B79,SAU_Key,0))="B","Incluída","n.d."))</f>
        <v>Incluída</v>
      </c>
      <c r="R79" s="51" t="str">
        <f aca="false">IF(INDEX(SAU_Status,MATCH("Premium|"&amp;$B79,SAU_Key,0))="O",INDEX(SAU_PP,MATCH("Premium|"&amp;$B79,SAU_Key,0))*INDEX(RelUni,MATCH($B79,Cov_Cod,0),5)*(1+sig_SAU)/(1-load_SAU)*(1+tax_SAU),IF(INDEX(SAU_Status,MATCH("Premium|"&amp;$B79,SAU_Key,0))="B","Incluída","n.d."))</f>
        <v>Incluída</v>
      </c>
    </row>
    <row r="80" customFormat="false" ht="15" hidden="false" customHeight="false" outlineLevel="0" collapsed="false">
      <c r="B80" s="21" t="s">
        <v>147</v>
      </c>
      <c r="C80" s="38" t="str">
        <f aca="false">INDEX(Cov_Nome,MATCH(B80,Cov_Cod,0))</f>
        <v>Consultas de Clínica Geral e Especialidade (incl. teleconsulta)</v>
      </c>
      <c r="D80" s="52" t="n">
        <f aca="false">IF(INDEX(SAU_Status,MATCH("Base|"&amp;$B80,SAU_Key,0))="O",INDEX(SAU_PP,MATCH("Base|"&amp;$B80,SAU_Key,0))*INDEX(RelUni,MATCH($B80,Cov_Cod,0),1)*(1+sig_SAU)/(1-load_SAU)*(1+tax_SAU),IF(INDEX(SAU_Status,MATCH("Base|"&amp;$B80,SAU_Key,0))="B","Incluída","n.d."))</f>
        <v>109953.131414587</v>
      </c>
      <c r="E80" s="52" t="n">
        <f aca="false">IF(INDEX(SAU_Status,MATCH("Base|"&amp;$B80,SAU_Key,0))="O",INDEX(SAU_PP,MATCH("Base|"&amp;$B80,SAU_Key,0))*INDEX(RelUni,MATCH($B80,Cov_Cod,0),2)*(1+sig_SAU)/(1-load_SAU)*(1+tax_SAU),IF(INDEX(SAU_Status,MATCH("Base|"&amp;$B80,SAU_Key,0))="B","Incluída","n.d."))</f>
        <v>118685.304868865</v>
      </c>
      <c r="F80" s="52" t="n">
        <f aca="false">IF(INDEX(SAU_Status,MATCH("Base|"&amp;$B80,SAU_Key,0))="O",INDEX(SAU_PP,MATCH("Base|"&amp;$B80,SAU_Key,0))*INDEX(RelUni,MATCH($B80,Cov_Cod,0),3)*(1+sig_SAU)/(1-load_SAU)*(1+tax_SAU),IF(INDEX(SAU_Status,MATCH("Base|"&amp;$B80,SAU_Key,0))="B","Incluída","n.d."))</f>
        <v>137515.078213822</v>
      </c>
      <c r="G80" s="52" t="n">
        <f aca="false">IF(INDEX(SAU_Status,MATCH("Base|"&amp;$B80,SAU_Key,0))="O",INDEX(SAU_PP,MATCH("Base|"&amp;$B80,SAU_Key,0))*INDEX(RelUni,MATCH($B80,Cov_Cod,0),4)*(1+sig_SAU)/(1-load_SAU)*(1+tax_SAU),IF(INDEX(SAU_Status,MATCH("Base|"&amp;$B80,SAU_Key,0))="B","Incluída","n.d."))</f>
        <v>169892.320824655</v>
      </c>
      <c r="H80" s="52" t="n">
        <f aca="false">IF(INDEX(SAU_Status,MATCH("Base|"&amp;$B80,SAU_Key,0))="O",INDEX(SAU_PP,MATCH("Base|"&amp;$B80,SAU_Key,0))*INDEX(RelUni,MATCH($B80,Cov_Cod,0),5)*(1+sig_SAU)/(1-load_SAU)*(1+tax_SAU),IF(INDEX(SAU_Status,MATCH("Base|"&amp;$B80,SAU_Key,0))="B","Incluída","n.d."))</f>
        <v>209771.198612664</v>
      </c>
      <c r="I80" s="52" t="str">
        <f aca="false">IF(INDEX(SAU_Status,MATCH("Conforto|"&amp;$B80,SAU_Key,0))="O",INDEX(SAU_PP,MATCH("Conforto|"&amp;$B80,SAU_Key,0))*INDEX(RelUni,MATCH($B80,Cov_Cod,0),1)*(1+sig_SAU)/(1-load_SAU)*(1+tax_SAU),IF(INDEX(SAU_Status,MATCH("Conforto|"&amp;$B80,SAU_Key,0))="B","Incluída","n.d."))</f>
        <v>Incluída</v>
      </c>
      <c r="J80" s="52" t="str">
        <f aca="false">IF(INDEX(SAU_Status,MATCH("Conforto|"&amp;$B80,SAU_Key,0))="O",INDEX(SAU_PP,MATCH("Conforto|"&amp;$B80,SAU_Key,0))*INDEX(RelUni,MATCH($B80,Cov_Cod,0),2)*(1+sig_SAU)/(1-load_SAU)*(1+tax_SAU),IF(INDEX(SAU_Status,MATCH("Conforto|"&amp;$B80,SAU_Key,0))="B","Incluída","n.d."))</f>
        <v>Incluída</v>
      </c>
      <c r="K80" s="52" t="str">
        <f aca="false">IF(INDEX(SAU_Status,MATCH("Conforto|"&amp;$B80,SAU_Key,0))="O",INDEX(SAU_PP,MATCH("Conforto|"&amp;$B80,SAU_Key,0))*INDEX(RelUni,MATCH($B80,Cov_Cod,0),3)*(1+sig_SAU)/(1-load_SAU)*(1+tax_SAU),IF(INDEX(SAU_Status,MATCH("Conforto|"&amp;$B80,SAU_Key,0))="B","Incluída","n.d."))</f>
        <v>Incluída</v>
      </c>
      <c r="L80" s="52" t="str">
        <f aca="false">IF(INDEX(SAU_Status,MATCH("Conforto|"&amp;$B80,SAU_Key,0))="O",INDEX(SAU_PP,MATCH("Conforto|"&amp;$B80,SAU_Key,0))*INDEX(RelUni,MATCH($B80,Cov_Cod,0),4)*(1+sig_SAU)/(1-load_SAU)*(1+tax_SAU),IF(INDEX(SAU_Status,MATCH("Conforto|"&amp;$B80,SAU_Key,0))="B","Incluída","n.d."))</f>
        <v>Incluída</v>
      </c>
      <c r="M80" s="52" t="str">
        <f aca="false">IF(INDEX(SAU_Status,MATCH("Conforto|"&amp;$B80,SAU_Key,0))="O",INDEX(SAU_PP,MATCH("Conforto|"&amp;$B80,SAU_Key,0))*INDEX(RelUni,MATCH($B80,Cov_Cod,0),5)*(1+sig_SAU)/(1-load_SAU)*(1+tax_SAU),IF(INDEX(SAU_Status,MATCH("Conforto|"&amp;$B80,SAU_Key,0))="B","Incluída","n.d."))</f>
        <v>Incluída</v>
      </c>
      <c r="N80" s="52" t="str">
        <f aca="false">IF(INDEX(SAU_Status,MATCH("Premium|"&amp;$B80,SAU_Key,0))="O",INDEX(SAU_PP,MATCH("Premium|"&amp;$B80,SAU_Key,0))*INDEX(RelUni,MATCH($B80,Cov_Cod,0),1)*(1+sig_SAU)/(1-load_SAU)*(1+tax_SAU),IF(INDEX(SAU_Status,MATCH("Premium|"&amp;$B80,SAU_Key,0))="B","Incluída","n.d."))</f>
        <v>Incluída</v>
      </c>
      <c r="O80" s="52" t="str">
        <f aca="false">IF(INDEX(SAU_Status,MATCH("Premium|"&amp;$B80,SAU_Key,0))="O",INDEX(SAU_PP,MATCH("Premium|"&amp;$B80,SAU_Key,0))*INDEX(RelUni,MATCH($B80,Cov_Cod,0),2)*(1+sig_SAU)/(1-load_SAU)*(1+tax_SAU),IF(INDEX(SAU_Status,MATCH("Premium|"&amp;$B80,SAU_Key,0))="B","Incluída","n.d."))</f>
        <v>Incluída</v>
      </c>
      <c r="P80" s="52" t="str">
        <f aca="false">IF(INDEX(SAU_Status,MATCH("Premium|"&amp;$B80,SAU_Key,0))="O",INDEX(SAU_PP,MATCH("Premium|"&amp;$B80,SAU_Key,0))*INDEX(RelUni,MATCH($B80,Cov_Cod,0),3)*(1+sig_SAU)/(1-load_SAU)*(1+tax_SAU),IF(INDEX(SAU_Status,MATCH("Premium|"&amp;$B80,SAU_Key,0))="B","Incluída","n.d."))</f>
        <v>Incluída</v>
      </c>
      <c r="Q80" s="52" t="str">
        <f aca="false">IF(INDEX(SAU_Status,MATCH("Premium|"&amp;$B80,SAU_Key,0))="O",INDEX(SAU_PP,MATCH("Premium|"&amp;$B80,SAU_Key,0))*INDEX(RelUni,MATCH($B80,Cov_Cod,0),4)*(1+sig_SAU)/(1-load_SAU)*(1+tax_SAU),IF(INDEX(SAU_Status,MATCH("Premium|"&amp;$B80,SAU_Key,0))="B","Incluída","n.d."))</f>
        <v>Incluída</v>
      </c>
      <c r="R80" s="52" t="str">
        <f aca="false">IF(INDEX(SAU_Status,MATCH("Premium|"&amp;$B80,SAU_Key,0))="O",INDEX(SAU_PP,MATCH("Premium|"&amp;$B80,SAU_Key,0))*INDEX(RelUni,MATCH($B80,Cov_Cod,0),5)*(1+sig_SAU)/(1-load_SAU)*(1+tax_SAU),IF(INDEX(SAU_Status,MATCH("Premium|"&amp;$B80,SAU_Key,0))="B","Incluída","n.d."))</f>
        <v>Incluída</v>
      </c>
    </row>
    <row r="81" customFormat="false" ht="15" hidden="false" customHeight="false" outlineLevel="0" collapsed="false">
      <c r="B81" s="16" t="s">
        <v>151</v>
      </c>
      <c r="C81" s="32" t="str">
        <f aca="false">INDEX(Cov_Nome,MATCH(B81,Cov_Cod,0))</f>
        <v>MCDT — Exames, Análises e Imagiologia</v>
      </c>
      <c r="D81" s="51" t="n">
        <f aca="false">IF(INDEX(SAU_Status,MATCH("Base|"&amp;$B81,SAU_Key,0))="O",INDEX(SAU_PP,MATCH("Base|"&amp;$B81,SAU_Key,0))*INDEX(RelUni,MATCH($B81,Cov_Cod,0),1)*(1+sig_SAU)/(1-load_SAU)*(1+tax_SAU),IF(INDEX(SAU_Status,MATCH("Base|"&amp;$B81,SAU_Key,0))="B","Incluída","n.d."))</f>
        <v>60702.7210705126</v>
      </c>
      <c r="E81" s="51" t="n">
        <f aca="false">IF(INDEX(SAU_Status,MATCH("Base|"&amp;$B81,SAU_Key,0))="O",INDEX(SAU_PP,MATCH("Base|"&amp;$B81,SAU_Key,0))*INDEX(RelUni,MATCH($B81,Cov_Cod,0),2)*(1+sig_SAU)/(1-load_SAU)*(1+tax_SAU),IF(INDEX(SAU_Status,MATCH("Base|"&amp;$B81,SAU_Key,0))="B","Incluída","n.d."))</f>
        <v>107412.282413732</v>
      </c>
      <c r="F81" s="51" t="n">
        <f aca="false">IF(INDEX(SAU_Status,MATCH("Base|"&amp;$B81,SAU_Key,0))="O",INDEX(SAU_PP,MATCH("Base|"&amp;$B81,SAU_Key,0))*INDEX(RelUni,MATCH($B81,Cov_Cod,0),3)*(1+sig_SAU)/(1-load_SAU)*(1+tax_SAU),IF(INDEX(SAU_Status,MATCH("Base|"&amp;$B81,SAU_Key,0))="B","Incluída","n.d."))</f>
        <v>135063.55438189</v>
      </c>
      <c r="G81" s="51" t="n">
        <f aca="false">IF(INDEX(SAU_Status,MATCH("Base|"&amp;$B81,SAU_Key,0))="O",INDEX(SAU_PP,MATCH("Base|"&amp;$B81,SAU_Key,0))*INDEX(RelUni,MATCH($B81,Cov_Cod,0),4)*(1+sig_SAU)/(1-load_SAU)*(1+tax_SAU),IF(INDEX(SAU_Status,MATCH("Base|"&amp;$B81,SAU_Key,0))="B","Incluída","n.d."))</f>
        <v>185962.304231888</v>
      </c>
      <c r="H81" s="51" t="n">
        <f aca="false">IF(INDEX(SAU_Status,MATCH("Base|"&amp;$B81,SAU_Key,0))="O",INDEX(SAU_PP,MATCH("Base|"&amp;$B81,SAU_Key,0))*INDEX(RelUni,MATCH($B81,Cov_Cod,0),5)*(1+sig_SAU)/(1-load_SAU)*(1+tax_SAU),IF(INDEX(SAU_Status,MATCH("Base|"&amp;$B81,SAU_Key,0))="B","Incluída","n.d."))</f>
        <v>234139.066986263</v>
      </c>
      <c r="I81" s="51" t="str">
        <f aca="false">IF(INDEX(SAU_Status,MATCH("Conforto|"&amp;$B81,SAU_Key,0))="O",INDEX(SAU_PP,MATCH("Conforto|"&amp;$B81,SAU_Key,0))*INDEX(RelUni,MATCH($B81,Cov_Cod,0),1)*(1+sig_SAU)/(1-load_SAU)*(1+tax_SAU),IF(INDEX(SAU_Status,MATCH("Conforto|"&amp;$B81,SAU_Key,0))="B","Incluída","n.d."))</f>
        <v>Incluída</v>
      </c>
      <c r="J81" s="51" t="str">
        <f aca="false">IF(INDEX(SAU_Status,MATCH("Conforto|"&amp;$B81,SAU_Key,0))="O",INDEX(SAU_PP,MATCH("Conforto|"&amp;$B81,SAU_Key,0))*INDEX(RelUni,MATCH($B81,Cov_Cod,0),2)*(1+sig_SAU)/(1-load_SAU)*(1+tax_SAU),IF(INDEX(SAU_Status,MATCH("Conforto|"&amp;$B81,SAU_Key,0))="B","Incluída","n.d."))</f>
        <v>Incluída</v>
      </c>
      <c r="K81" s="51" t="str">
        <f aca="false">IF(INDEX(SAU_Status,MATCH("Conforto|"&amp;$B81,SAU_Key,0))="O",INDEX(SAU_PP,MATCH("Conforto|"&amp;$B81,SAU_Key,0))*INDEX(RelUni,MATCH($B81,Cov_Cod,0),3)*(1+sig_SAU)/(1-load_SAU)*(1+tax_SAU),IF(INDEX(SAU_Status,MATCH("Conforto|"&amp;$B81,SAU_Key,0))="B","Incluída","n.d."))</f>
        <v>Incluída</v>
      </c>
      <c r="L81" s="51" t="str">
        <f aca="false">IF(INDEX(SAU_Status,MATCH("Conforto|"&amp;$B81,SAU_Key,0))="O",INDEX(SAU_PP,MATCH("Conforto|"&amp;$B81,SAU_Key,0))*INDEX(RelUni,MATCH($B81,Cov_Cod,0),4)*(1+sig_SAU)/(1-load_SAU)*(1+tax_SAU),IF(INDEX(SAU_Status,MATCH("Conforto|"&amp;$B81,SAU_Key,0))="B","Incluída","n.d."))</f>
        <v>Incluída</v>
      </c>
      <c r="M81" s="51" t="str">
        <f aca="false">IF(INDEX(SAU_Status,MATCH("Conforto|"&amp;$B81,SAU_Key,0))="O",INDEX(SAU_PP,MATCH("Conforto|"&amp;$B81,SAU_Key,0))*INDEX(RelUni,MATCH($B81,Cov_Cod,0),5)*(1+sig_SAU)/(1-load_SAU)*(1+tax_SAU),IF(INDEX(SAU_Status,MATCH("Conforto|"&amp;$B81,SAU_Key,0))="B","Incluída","n.d."))</f>
        <v>Incluída</v>
      </c>
      <c r="N81" s="51" t="str">
        <f aca="false">IF(INDEX(SAU_Status,MATCH("Premium|"&amp;$B81,SAU_Key,0))="O",INDEX(SAU_PP,MATCH("Premium|"&amp;$B81,SAU_Key,0))*INDEX(RelUni,MATCH($B81,Cov_Cod,0),1)*(1+sig_SAU)/(1-load_SAU)*(1+tax_SAU),IF(INDEX(SAU_Status,MATCH("Premium|"&amp;$B81,SAU_Key,0))="B","Incluída","n.d."))</f>
        <v>Incluída</v>
      </c>
      <c r="O81" s="51" t="str">
        <f aca="false">IF(INDEX(SAU_Status,MATCH("Premium|"&amp;$B81,SAU_Key,0))="O",INDEX(SAU_PP,MATCH("Premium|"&amp;$B81,SAU_Key,0))*INDEX(RelUni,MATCH($B81,Cov_Cod,0),2)*(1+sig_SAU)/(1-load_SAU)*(1+tax_SAU),IF(INDEX(SAU_Status,MATCH("Premium|"&amp;$B81,SAU_Key,0))="B","Incluída","n.d."))</f>
        <v>Incluída</v>
      </c>
      <c r="P81" s="51" t="str">
        <f aca="false">IF(INDEX(SAU_Status,MATCH("Premium|"&amp;$B81,SAU_Key,0))="O",INDEX(SAU_PP,MATCH("Premium|"&amp;$B81,SAU_Key,0))*INDEX(RelUni,MATCH($B81,Cov_Cod,0),3)*(1+sig_SAU)/(1-load_SAU)*(1+tax_SAU),IF(INDEX(SAU_Status,MATCH("Premium|"&amp;$B81,SAU_Key,0))="B","Incluída","n.d."))</f>
        <v>Incluída</v>
      </c>
      <c r="Q81" s="51" t="str">
        <f aca="false">IF(INDEX(SAU_Status,MATCH("Premium|"&amp;$B81,SAU_Key,0))="O",INDEX(SAU_PP,MATCH("Premium|"&amp;$B81,SAU_Key,0))*INDEX(RelUni,MATCH($B81,Cov_Cod,0),4)*(1+sig_SAU)/(1-load_SAU)*(1+tax_SAU),IF(INDEX(SAU_Status,MATCH("Premium|"&amp;$B81,SAU_Key,0))="B","Incluída","n.d."))</f>
        <v>Incluída</v>
      </c>
      <c r="R81" s="51" t="str">
        <f aca="false">IF(INDEX(SAU_Status,MATCH("Premium|"&amp;$B81,SAU_Key,0))="O",INDEX(SAU_PP,MATCH("Premium|"&amp;$B81,SAU_Key,0))*INDEX(RelUni,MATCH($B81,Cov_Cod,0),5)*(1+sig_SAU)/(1-load_SAU)*(1+tax_SAU),IF(INDEX(SAU_Status,MATCH("Premium|"&amp;$B81,SAU_Key,0))="B","Incluída","n.d."))</f>
        <v>Incluída</v>
      </c>
    </row>
    <row r="82" customFormat="false" ht="15" hidden="false" customHeight="false" outlineLevel="0" collapsed="false">
      <c r="B82" s="21" t="s">
        <v>155</v>
      </c>
      <c r="C82" s="38" t="str">
        <f aca="false">INDEX(Cov_Nome,MATCH(B82,Cov_Cod,0))</f>
        <v>Malária e Doenças Endémicas (ambulatório)</v>
      </c>
      <c r="D82" s="52" t="n">
        <f aca="false">IF(INDEX(SAU_Status,MATCH("Base|"&amp;$B82,SAU_Key,0))="O",INDEX(SAU_PP,MATCH("Base|"&amp;$B82,SAU_Key,0))*INDEX(RelUni,MATCH($B82,Cov_Cod,0),1)*(1+sig_SAU)/(1-load_SAU)*(1+tax_SAU),IF(INDEX(SAU_Status,MATCH("Base|"&amp;$B82,SAU_Key,0))="B","Incluída","n.d."))</f>
        <v>27012.1272911346</v>
      </c>
      <c r="E82" s="52" t="n">
        <f aca="false">IF(INDEX(SAU_Status,MATCH("Base|"&amp;$B82,SAU_Key,0))="O",INDEX(SAU_PP,MATCH("Base|"&amp;$B82,SAU_Key,0))*INDEX(RelUni,MATCH($B82,Cov_Cod,0),2)*(1+sig_SAU)/(1-load_SAU)*(1+tax_SAU),IF(INDEX(SAU_Status,MATCH("Base|"&amp;$B82,SAU_Key,0))="B","Incluída","n.d."))</f>
        <v>17555.4085347684</v>
      </c>
      <c r="F82" s="52" t="n">
        <f aca="false">IF(INDEX(SAU_Status,MATCH("Base|"&amp;$B82,SAU_Key,0))="O",INDEX(SAU_PP,MATCH("Base|"&amp;$B82,SAU_Key,0))*INDEX(RelUni,MATCH($B82,Cov_Cod,0),3)*(1+sig_SAU)/(1-load_SAU)*(1+tax_SAU),IF(INDEX(SAU_Status,MATCH("Base|"&amp;$B82,SAU_Key,0))="B","Incluída","n.d."))</f>
        <v>16674.7154540009</v>
      </c>
      <c r="G82" s="52" t="n">
        <f aca="false">IF(INDEX(SAU_Status,MATCH("Base|"&amp;$B82,SAU_Key,0))="O",INDEX(SAU_PP,MATCH("Base|"&amp;$B82,SAU_Key,0))*INDEX(RelUni,MATCH($B82,Cov_Cod,0),4)*(1+sig_SAU)/(1-load_SAU)*(1+tax_SAU),IF(INDEX(SAU_Status,MATCH("Base|"&amp;$B82,SAU_Key,0))="B","Incluída","n.d."))</f>
        <v>18003.5488192298</v>
      </c>
      <c r="H82" s="52" t="n">
        <f aca="false">IF(INDEX(SAU_Status,MATCH("Base|"&amp;$B82,SAU_Key,0))="O",INDEX(SAU_PP,MATCH("Base|"&amp;$B82,SAU_Key,0))*INDEX(RelUni,MATCH($B82,Cov_Cod,0),5)*(1+sig_SAU)/(1-load_SAU)*(1+tax_SAU),IF(INDEX(SAU_Status,MATCH("Base|"&amp;$B82,SAU_Key,0))="B","Incluída","n.d."))</f>
        <v>20575.484364834</v>
      </c>
      <c r="I82" s="52" t="str">
        <f aca="false">IF(INDEX(SAU_Status,MATCH("Conforto|"&amp;$B82,SAU_Key,0))="O",INDEX(SAU_PP,MATCH("Conforto|"&amp;$B82,SAU_Key,0))*INDEX(RelUni,MATCH($B82,Cov_Cod,0),1)*(1+sig_SAU)/(1-load_SAU)*(1+tax_SAU),IF(INDEX(SAU_Status,MATCH("Conforto|"&amp;$B82,SAU_Key,0))="B","Incluída","n.d."))</f>
        <v>Incluída</v>
      </c>
      <c r="J82" s="52" t="str">
        <f aca="false">IF(INDEX(SAU_Status,MATCH("Conforto|"&amp;$B82,SAU_Key,0))="O",INDEX(SAU_PP,MATCH("Conforto|"&amp;$B82,SAU_Key,0))*INDEX(RelUni,MATCH($B82,Cov_Cod,0),2)*(1+sig_SAU)/(1-load_SAU)*(1+tax_SAU),IF(INDEX(SAU_Status,MATCH("Conforto|"&amp;$B82,SAU_Key,0))="B","Incluída","n.d."))</f>
        <v>Incluída</v>
      </c>
      <c r="K82" s="52" t="str">
        <f aca="false">IF(INDEX(SAU_Status,MATCH("Conforto|"&amp;$B82,SAU_Key,0))="O",INDEX(SAU_PP,MATCH("Conforto|"&amp;$B82,SAU_Key,0))*INDEX(RelUni,MATCH($B82,Cov_Cod,0),3)*(1+sig_SAU)/(1-load_SAU)*(1+tax_SAU),IF(INDEX(SAU_Status,MATCH("Conforto|"&amp;$B82,SAU_Key,0))="B","Incluída","n.d."))</f>
        <v>Incluída</v>
      </c>
      <c r="L82" s="52" t="str">
        <f aca="false">IF(INDEX(SAU_Status,MATCH("Conforto|"&amp;$B82,SAU_Key,0))="O",INDEX(SAU_PP,MATCH("Conforto|"&amp;$B82,SAU_Key,0))*INDEX(RelUni,MATCH($B82,Cov_Cod,0),4)*(1+sig_SAU)/(1-load_SAU)*(1+tax_SAU),IF(INDEX(SAU_Status,MATCH("Conforto|"&amp;$B82,SAU_Key,0))="B","Incluída","n.d."))</f>
        <v>Incluída</v>
      </c>
      <c r="M82" s="52" t="str">
        <f aca="false">IF(INDEX(SAU_Status,MATCH("Conforto|"&amp;$B82,SAU_Key,0))="O",INDEX(SAU_PP,MATCH("Conforto|"&amp;$B82,SAU_Key,0))*INDEX(RelUni,MATCH($B82,Cov_Cod,0),5)*(1+sig_SAU)/(1-load_SAU)*(1+tax_SAU),IF(INDEX(SAU_Status,MATCH("Conforto|"&amp;$B82,SAU_Key,0))="B","Incluída","n.d."))</f>
        <v>Incluída</v>
      </c>
      <c r="N82" s="52" t="str">
        <f aca="false">IF(INDEX(SAU_Status,MATCH("Premium|"&amp;$B82,SAU_Key,0))="O",INDEX(SAU_PP,MATCH("Premium|"&amp;$B82,SAU_Key,0))*INDEX(RelUni,MATCH($B82,Cov_Cod,0),1)*(1+sig_SAU)/(1-load_SAU)*(1+tax_SAU),IF(INDEX(SAU_Status,MATCH("Premium|"&amp;$B82,SAU_Key,0))="B","Incluída","n.d."))</f>
        <v>Incluída</v>
      </c>
      <c r="O82" s="52" t="str">
        <f aca="false">IF(INDEX(SAU_Status,MATCH("Premium|"&amp;$B82,SAU_Key,0))="O",INDEX(SAU_PP,MATCH("Premium|"&amp;$B82,SAU_Key,0))*INDEX(RelUni,MATCH($B82,Cov_Cod,0),2)*(1+sig_SAU)/(1-load_SAU)*(1+tax_SAU),IF(INDEX(SAU_Status,MATCH("Premium|"&amp;$B82,SAU_Key,0))="B","Incluída","n.d."))</f>
        <v>Incluída</v>
      </c>
      <c r="P82" s="52" t="str">
        <f aca="false">IF(INDEX(SAU_Status,MATCH("Premium|"&amp;$B82,SAU_Key,0))="O",INDEX(SAU_PP,MATCH("Premium|"&amp;$B82,SAU_Key,0))*INDEX(RelUni,MATCH($B82,Cov_Cod,0),3)*(1+sig_SAU)/(1-load_SAU)*(1+tax_SAU),IF(INDEX(SAU_Status,MATCH("Premium|"&amp;$B82,SAU_Key,0))="B","Incluída","n.d."))</f>
        <v>Incluída</v>
      </c>
      <c r="Q82" s="52" t="str">
        <f aca="false">IF(INDEX(SAU_Status,MATCH("Premium|"&amp;$B82,SAU_Key,0))="O",INDEX(SAU_PP,MATCH("Premium|"&amp;$B82,SAU_Key,0))*INDEX(RelUni,MATCH($B82,Cov_Cod,0),4)*(1+sig_SAU)/(1-load_SAU)*(1+tax_SAU),IF(INDEX(SAU_Status,MATCH("Premium|"&amp;$B82,SAU_Key,0))="B","Incluída","n.d."))</f>
        <v>Incluída</v>
      </c>
      <c r="R82" s="52" t="str">
        <f aca="false">IF(INDEX(SAU_Status,MATCH("Premium|"&amp;$B82,SAU_Key,0))="O",INDEX(SAU_PP,MATCH("Premium|"&amp;$B82,SAU_Key,0))*INDEX(RelUni,MATCH($B82,Cov_Cod,0),5)*(1+sig_SAU)/(1-load_SAU)*(1+tax_SAU),IF(INDEX(SAU_Status,MATCH("Premium|"&amp;$B82,SAU_Key,0))="B","Incluída","n.d."))</f>
        <v>Incluída</v>
      </c>
    </row>
    <row r="83" customFormat="false" ht="15" hidden="false" customHeight="false" outlineLevel="0" collapsed="false">
      <c r="B83" s="16" t="s">
        <v>159</v>
      </c>
      <c r="C83" s="32" t="str">
        <f aca="false">INDEX(Cov_Nome,MATCH(B83,Cov_Cod,0))</f>
        <v>Maternidade e Parto (Normal e Cesariana)</v>
      </c>
      <c r="D83" s="51" t="str">
        <f aca="false">IF(INDEX(SAU_Status,MATCH("Base|"&amp;$B83,SAU_Key,0))="O",INDEX(SAU_PP,MATCH("Base|"&amp;$B83,SAU_Key,0))*INDEX(RelUni,MATCH($B83,Cov_Cod,0),1)*(1+sig_SAU)/(1-load_SAU)*(1+tax_SAU),IF(INDEX(SAU_Status,MATCH("Base|"&amp;$B83,SAU_Key,0))="B","Incluída","n.d."))</f>
        <v>n.d.</v>
      </c>
      <c r="E83" s="51" t="str">
        <f aca="false">IF(INDEX(SAU_Status,MATCH("Base|"&amp;$B83,SAU_Key,0))="O",INDEX(SAU_PP,MATCH("Base|"&amp;$B83,SAU_Key,0))*INDEX(RelUni,MATCH($B83,Cov_Cod,0),2)*(1+sig_SAU)/(1-load_SAU)*(1+tax_SAU),IF(INDEX(SAU_Status,MATCH("Base|"&amp;$B83,SAU_Key,0))="B","Incluída","n.d."))</f>
        <v>n.d.</v>
      </c>
      <c r="F83" s="51" t="str">
        <f aca="false">IF(INDEX(SAU_Status,MATCH("Base|"&amp;$B83,SAU_Key,0))="O",INDEX(SAU_PP,MATCH("Base|"&amp;$B83,SAU_Key,0))*INDEX(RelUni,MATCH($B83,Cov_Cod,0),3)*(1+sig_SAU)/(1-load_SAU)*(1+tax_SAU),IF(INDEX(SAU_Status,MATCH("Base|"&amp;$B83,SAU_Key,0))="B","Incluída","n.d."))</f>
        <v>n.d.</v>
      </c>
      <c r="G83" s="51" t="str">
        <f aca="false">IF(INDEX(SAU_Status,MATCH("Base|"&amp;$B83,SAU_Key,0))="O",INDEX(SAU_PP,MATCH("Base|"&amp;$B83,SAU_Key,0))*INDEX(RelUni,MATCH($B83,Cov_Cod,0),4)*(1+sig_SAU)/(1-load_SAU)*(1+tax_SAU),IF(INDEX(SAU_Status,MATCH("Base|"&amp;$B83,SAU_Key,0))="B","Incluída","n.d."))</f>
        <v>n.d.</v>
      </c>
      <c r="H83" s="51" t="str">
        <f aca="false">IF(INDEX(SAU_Status,MATCH("Base|"&amp;$B83,SAU_Key,0))="O",INDEX(SAU_PP,MATCH("Base|"&amp;$B83,SAU_Key,0))*INDEX(RelUni,MATCH($B83,Cov_Cod,0),5)*(1+sig_SAU)/(1-load_SAU)*(1+tax_SAU),IF(INDEX(SAU_Status,MATCH("Base|"&amp;$B83,SAU_Key,0))="B","Incluída","n.d."))</f>
        <v>n.d.</v>
      </c>
      <c r="I83" s="51" t="n">
        <f aca="false">IF(INDEX(SAU_Status,MATCH("Conforto|"&amp;$B83,SAU_Key,0))="O",INDEX(SAU_PP,MATCH("Conforto|"&amp;$B83,SAU_Key,0))*INDEX(RelUni,MATCH($B83,Cov_Cod,0),1)*(1+sig_SAU)/(1-load_SAU)*(1+tax_SAU),IF(INDEX(SAU_Status,MATCH("Conforto|"&amp;$B83,SAU_Key,0))="B","Incluída","n.d."))</f>
        <v>2342.52029787937</v>
      </c>
      <c r="J83" s="51" t="n">
        <f aca="false">IF(INDEX(SAU_Status,MATCH("Conforto|"&amp;$B83,SAU_Key,0))="O",INDEX(SAU_PP,MATCH("Conforto|"&amp;$B83,SAU_Key,0))*INDEX(RelUni,MATCH($B83,Cov_Cod,0),2)*(1+sig_SAU)/(1-load_SAU)*(1+tax_SAU),IF(INDEX(SAU_Status,MATCH("Conforto|"&amp;$B83,SAU_Key,0))="B","Incluída","n.d."))</f>
        <v>45442.1459544634</v>
      </c>
      <c r="K83" s="51" t="n">
        <f aca="false">IF(INDEX(SAU_Status,MATCH("Conforto|"&amp;$B83,SAU_Key,0))="O",INDEX(SAU_PP,MATCH("Conforto|"&amp;$B83,SAU_Key,0))*INDEX(RelUni,MATCH($B83,Cov_Cod,0),3)*(1+sig_SAU)/(1-load_SAU)*(1+tax_SAU),IF(INDEX(SAU_Status,MATCH("Conforto|"&amp;$B83,SAU_Key,0))="B","Incluída","n.d."))</f>
        <v>14995.9081649729</v>
      </c>
      <c r="L83" s="51" t="n">
        <f aca="false">IF(INDEX(SAU_Status,MATCH("Conforto|"&amp;$B83,SAU_Key,0))="O",INDEX(SAU_PP,MATCH("Conforto|"&amp;$B83,SAU_Key,0))*INDEX(RelUni,MATCH($B83,Cov_Cod,0),4)*(1+sig_SAU)/(1-load_SAU)*(1+tax_SAU),IF(INDEX(SAU_Status,MATCH("Conforto|"&amp;$B83,SAU_Key,0))="B","Incluída","n.d."))</f>
        <v>0</v>
      </c>
      <c r="M83" s="51" t="n">
        <f aca="false">IF(INDEX(SAU_Status,MATCH("Conforto|"&amp;$B83,SAU_Key,0))="O",INDEX(SAU_PP,MATCH("Conforto|"&amp;$B83,SAU_Key,0))*INDEX(RelUni,MATCH($B83,Cov_Cod,0),5)*(1+sig_SAU)/(1-load_SAU)*(1+tax_SAU),IF(INDEX(SAU_Status,MATCH("Conforto|"&amp;$B83,SAU_Key,0))="B","Incluída","n.d."))</f>
        <v>0</v>
      </c>
      <c r="N83" s="51" t="str">
        <f aca="false">IF(INDEX(SAU_Status,MATCH("Premium|"&amp;$B83,SAU_Key,0))="O",INDEX(SAU_PP,MATCH("Premium|"&amp;$B83,SAU_Key,0))*INDEX(RelUni,MATCH($B83,Cov_Cod,0),1)*(1+sig_SAU)/(1-load_SAU)*(1+tax_SAU),IF(INDEX(SAU_Status,MATCH("Premium|"&amp;$B83,SAU_Key,0))="B","Incluída","n.d."))</f>
        <v>Incluída</v>
      </c>
      <c r="O83" s="51" t="str">
        <f aca="false">IF(INDEX(SAU_Status,MATCH("Premium|"&amp;$B83,SAU_Key,0))="O",INDEX(SAU_PP,MATCH("Premium|"&amp;$B83,SAU_Key,0))*INDEX(RelUni,MATCH($B83,Cov_Cod,0),2)*(1+sig_SAU)/(1-load_SAU)*(1+tax_SAU),IF(INDEX(SAU_Status,MATCH("Premium|"&amp;$B83,SAU_Key,0))="B","Incluída","n.d."))</f>
        <v>Incluída</v>
      </c>
      <c r="P83" s="51" t="str">
        <f aca="false">IF(INDEX(SAU_Status,MATCH("Premium|"&amp;$B83,SAU_Key,0))="O",INDEX(SAU_PP,MATCH("Premium|"&amp;$B83,SAU_Key,0))*INDEX(RelUni,MATCH($B83,Cov_Cod,0),3)*(1+sig_SAU)/(1-load_SAU)*(1+tax_SAU),IF(INDEX(SAU_Status,MATCH("Premium|"&amp;$B83,SAU_Key,0))="B","Incluída","n.d."))</f>
        <v>Incluída</v>
      </c>
      <c r="Q83" s="51" t="str">
        <f aca="false">IF(INDEX(SAU_Status,MATCH("Premium|"&amp;$B83,SAU_Key,0))="O",INDEX(SAU_PP,MATCH("Premium|"&amp;$B83,SAU_Key,0))*INDEX(RelUni,MATCH($B83,Cov_Cod,0),4)*(1+sig_SAU)/(1-load_SAU)*(1+tax_SAU),IF(INDEX(SAU_Status,MATCH("Premium|"&amp;$B83,SAU_Key,0))="B","Incluída","n.d."))</f>
        <v>Incluída</v>
      </c>
      <c r="R83" s="51" t="str">
        <f aca="false">IF(INDEX(SAU_Status,MATCH("Premium|"&amp;$B83,SAU_Key,0))="O",INDEX(SAU_PP,MATCH("Premium|"&amp;$B83,SAU_Key,0))*INDEX(RelUni,MATCH($B83,Cov_Cod,0),5)*(1+sig_SAU)/(1-load_SAU)*(1+tax_SAU),IF(INDEX(SAU_Status,MATCH("Premium|"&amp;$B83,SAU_Key,0))="B","Incluída","n.d."))</f>
        <v>Incluída</v>
      </c>
    </row>
    <row r="84" customFormat="false" ht="15" hidden="false" customHeight="false" outlineLevel="0" collapsed="false">
      <c r="B84" s="21" t="s">
        <v>164</v>
      </c>
      <c r="C84" s="38" t="str">
        <f aca="false">INDEX(Cov_Nome,MATCH(B84,Cov_Cod,0))</f>
        <v>Urgência Hospitalar</v>
      </c>
      <c r="D84" s="52" t="str">
        <f aca="false">IF(INDEX(SAU_Status,MATCH("Base|"&amp;$B84,SAU_Key,0))="O",INDEX(SAU_PP,MATCH("Base|"&amp;$B84,SAU_Key,0))*INDEX(RelUni,MATCH($B84,Cov_Cod,0),1)*(1+sig_SAU)/(1-load_SAU)*(1+tax_SAU),IF(INDEX(SAU_Status,MATCH("Base|"&amp;$B84,SAU_Key,0))="B","Incluída","n.d."))</f>
        <v>Incluída</v>
      </c>
      <c r="E84" s="52" t="str">
        <f aca="false">IF(INDEX(SAU_Status,MATCH("Base|"&amp;$B84,SAU_Key,0))="O",INDEX(SAU_PP,MATCH("Base|"&amp;$B84,SAU_Key,0))*INDEX(RelUni,MATCH($B84,Cov_Cod,0),2)*(1+sig_SAU)/(1-load_SAU)*(1+tax_SAU),IF(INDEX(SAU_Status,MATCH("Base|"&amp;$B84,SAU_Key,0))="B","Incluída","n.d."))</f>
        <v>Incluída</v>
      </c>
      <c r="F84" s="52" t="str">
        <f aca="false">IF(INDEX(SAU_Status,MATCH("Base|"&amp;$B84,SAU_Key,0))="O",INDEX(SAU_PP,MATCH("Base|"&amp;$B84,SAU_Key,0))*INDEX(RelUni,MATCH($B84,Cov_Cod,0),3)*(1+sig_SAU)/(1-load_SAU)*(1+tax_SAU),IF(INDEX(SAU_Status,MATCH("Base|"&amp;$B84,SAU_Key,0))="B","Incluída","n.d."))</f>
        <v>Incluída</v>
      </c>
      <c r="G84" s="52" t="str">
        <f aca="false">IF(INDEX(SAU_Status,MATCH("Base|"&amp;$B84,SAU_Key,0))="O",INDEX(SAU_PP,MATCH("Base|"&amp;$B84,SAU_Key,0))*INDEX(RelUni,MATCH($B84,Cov_Cod,0),4)*(1+sig_SAU)/(1-load_SAU)*(1+tax_SAU),IF(INDEX(SAU_Status,MATCH("Base|"&amp;$B84,SAU_Key,0))="B","Incluída","n.d."))</f>
        <v>Incluída</v>
      </c>
      <c r="H84" s="52" t="str">
        <f aca="false">IF(INDEX(SAU_Status,MATCH("Base|"&amp;$B84,SAU_Key,0))="O",INDEX(SAU_PP,MATCH("Base|"&amp;$B84,SAU_Key,0))*INDEX(RelUni,MATCH($B84,Cov_Cod,0),5)*(1+sig_SAU)/(1-load_SAU)*(1+tax_SAU),IF(INDEX(SAU_Status,MATCH("Base|"&amp;$B84,SAU_Key,0))="B","Incluída","n.d."))</f>
        <v>Incluída</v>
      </c>
      <c r="I84" s="52" t="str">
        <f aca="false">IF(INDEX(SAU_Status,MATCH("Conforto|"&amp;$B84,SAU_Key,0))="O",INDEX(SAU_PP,MATCH("Conforto|"&amp;$B84,SAU_Key,0))*INDEX(RelUni,MATCH($B84,Cov_Cod,0),1)*(1+sig_SAU)/(1-load_SAU)*(1+tax_SAU),IF(INDEX(SAU_Status,MATCH("Conforto|"&amp;$B84,SAU_Key,0))="B","Incluída","n.d."))</f>
        <v>Incluída</v>
      </c>
      <c r="J84" s="52" t="str">
        <f aca="false">IF(INDEX(SAU_Status,MATCH("Conforto|"&amp;$B84,SAU_Key,0))="O",INDEX(SAU_PP,MATCH("Conforto|"&amp;$B84,SAU_Key,0))*INDEX(RelUni,MATCH($B84,Cov_Cod,0),2)*(1+sig_SAU)/(1-load_SAU)*(1+tax_SAU),IF(INDEX(SAU_Status,MATCH("Conforto|"&amp;$B84,SAU_Key,0))="B","Incluída","n.d."))</f>
        <v>Incluída</v>
      </c>
      <c r="K84" s="52" t="str">
        <f aca="false">IF(INDEX(SAU_Status,MATCH("Conforto|"&amp;$B84,SAU_Key,0))="O",INDEX(SAU_PP,MATCH("Conforto|"&amp;$B84,SAU_Key,0))*INDEX(RelUni,MATCH($B84,Cov_Cod,0),3)*(1+sig_SAU)/(1-load_SAU)*(1+tax_SAU),IF(INDEX(SAU_Status,MATCH("Conforto|"&amp;$B84,SAU_Key,0))="B","Incluída","n.d."))</f>
        <v>Incluída</v>
      </c>
      <c r="L84" s="52" t="str">
        <f aca="false">IF(INDEX(SAU_Status,MATCH("Conforto|"&amp;$B84,SAU_Key,0))="O",INDEX(SAU_PP,MATCH("Conforto|"&amp;$B84,SAU_Key,0))*INDEX(RelUni,MATCH($B84,Cov_Cod,0),4)*(1+sig_SAU)/(1-load_SAU)*(1+tax_SAU),IF(INDEX(SAU_Status,MATCH("Conforto|"&amp;$B84,SAU_Key,0))="B","Incluída","n.d."))</f>
        <v>Incluída</v>
      </c>
      <c r="M84" s="52" t="str">
        <f aca="false">IF(INDEX(SAU_Status,MATCH("Conforto|"&amp;$B84,SAU_Key,0))="O",INDEX(SAU_PP,MATCH("Conforto|"&amp;$B84,SAU_Key,0))*INDEX(RelUni,MATCH($B84,Cov_Cod,0),5)*(1+sig_SAU)/(1-load_SAU)*(1+tax_SAU),IF(INDEX(SAU_Status,MATCH("Conforto|"&amp;$B84,SAU_Key,0))="B","Incluída","n.d."))</f>
        <v>Incluída</v>
      </c>
      <c r="N84" s="52" t="str">
        <f aca="false">IF(INDEX(SAU_Status,MATCH("Premium|"&amp;$B84,SAU_Key,0))="O",INDEX(SAU_PP,MATCH("Premium|"&amp;$B84,SAU_Key,0))*INDEX(RelUni,MATCH($B84,Cov_Cod,0),1)*(1+sig_SAU)/(1-load_SAU)*(1+tax_SAU),IF(INDEX(SAU_Status,MATCH("Premium|"&amp;$B84,SAU_Key,0))="B","Incluída","n.d."))</f>
        <v>Incluída</v>
      </c>
      <c r="O84" s="52" t="str">
        <f aca="false">IF(INDEX(SAU_Status,MATCH("Premium|"&amp;$B84,SAU_Key,0))="O",INDEX(SAU_PP,MATCH("Premium|"&amp;$B84,SAU_Key,0))*INDEX(RelUni,MATCH($B84,Cov_Cod,0),2)*(1+sig_SAU)/(1-load_SAU)*(1+tax_SAU),IF(INDEX(SAU_Status,MATCH("Premium|"&amp;$B84,SAU_Key,0))="B","Incluída","n.d."))</f>
        <v>Incluída</v>
      </c>
      <c r="P84" s="52" t="str">
        <f aca="false">IF(INDEX(SAU_Status,MATCH("Premium|"&amp;$B84,SAU_Key,0))="O",INDEX(SAU_PP,MATCH("Premium|"&amp;$B84,SAU_Key,0))*INDEX(RelUni,MATCH($B84,Cov_Cod,0),3)*(1+sig_SAU)/(1-load_SAU)*(1+tax_SAU),IF(INDEX(SAU_Status,MATCH("Premium|"&amp;$B84,SAU_Key,0))="B","Incluída","n.d."))</f>
        <v>Incluída</v>
      </c>
      <c r="Q84" s="52" t="str">
        <f aca="false">IF(INDEX(SAU_Status,MATCH("Premium|"&amp;$B84,SAU_Key,0))="O",INDEX(SAU_PP,MATCH("Premium|"&amp;$B84,SAU_Key,0))*INDEX(RelUni,MATCH($B84,Cov_Cod,0),4)*(1+sig_SAU)/(1-load_SAU)*(1+tax_SAU),IF(INDEX(SAU_Status,MATCH("Premium|"&amp;$B84,SAU_Key,0))="B","Incluída","n.d."))</f>
        <v>Incluída</v>
      </c>
      <c r="R84" s="52" t="str">
        <f aca="false">IF(INDEX(SAU_Status,MATCH("Premium|"&amp;$B84,SAU_Key,0))="O",INDEX(SAU_PP,MATCH("Premium|"&amp;$B84,SAU_Key,0))*INDEX(RelUni,MATCH($B84,Cov_Cod,0),5)*(1+sig_SAU)/(1-load_SAU)*(1+tax_SAU),IF(INDEX(SAU_Status,MATCH("Premium|"&amp;$B84,SAU_Key,0))="B","Incluída","n.d."))</f>
        <v>Incluída</v>
      </c>
    </row>
    <row r="85" customFormat="false" ht="15" hidden="false" customHeight="false" outlineLevel="0" collapsed="false">
      <c r="B85" s="16" t="s">
        <v>167</v>
      </c>
      <c r="C85" s="32" t="str">
        <f aca="false">INDEX(Cov_Nome,MATCH(B85,Cov_Cod,0))</f>
        <v>Transporte em Ambulância / Emergência Médica</v>
      </c>
      <c r="D85" s="51" t="str">
        <f aca="false">IF(INDEX(SAU_Status,MATCH("Base|"&amp;$B85,SAU_Key,0))="O",INDEX(SAU_PP,MATCH("Base|"&amp;$B85,SAU_Key,0))*INDEX(RelUni,MATCH($B85,Cov_Cod,0),1)*(1+sig_SAU)/(1-load_SAU)*(1+tax_SAU),IF(INDEX(SAU_Status,MATCH("Base|"&amp;$B85,SAU_Key,0))="B","Incluída","n.d."))</f>
        <v>Incluída</v>
      </c>
      <c r="E85" s="51" t="str">
        <f aca="false">IF(INDEX(SAU_Status,MATCH("Base|"&amp;$B85,SAU_Key,0))="O",INDEX(SAU_PP,MATCH("Base|"&amp;$B85,SAU_Key,0))*INDEX(RelUni,MATCH($B85,Cov_Cod,0),2)*(1+sig_SAU)/(1-load_SAU)*(1+tax_SAU),IF(INDEX(SAU_Status,MATCH("Base|"&amp;$B85,SAU_Key,0))="B","Incluída","n.d."))</f>
        <v>Incluída</v>
      </c>
      <c r="F85" s="51" t="str">
        <f aca="false">IF(INDEX(SAU_Status,MATCH("Base|"&amp;$B85,SAU_Key,0))="O",INDEX(SAU_PP,MATCH("Base|"&amp;$B85,SAU_Key,0))*INDEX(RelUni,MATCH($B85,Cov_Cod,0),3)*(1+sig_SAU)/(1-load_SAU)*(1+tax_SAU),IF(INDEX(SAU_Status,MATCH("Base|"&amp;$B85,SAU_Key,0))="B","Incluída","n.d."))</f>
        <v>Incluída</v>
      </c>
      <c r="G85" s="51" t="str">
        <f aca="false">IF(INDEX(SAU_Status,MATCH("Base|"&amp;$B85,SAU_Key,0))="O",INDEX(SAU_PP,MATCH("Base|"&amp;$B85,SAU_Key,0))*INDEX(RelUni,MATCH($B85,Cov_Cod,0),4)*(1+sig_SAU)/(1-load_SAU)*(1+tax_SAU),IF(INDEX(SAU_Status,MATCH("Base|"&amp;$B85,SAU_Key,0))="B","Incluída","n.d."))</f>
        <v>Incluída</v>
      </c>
      <c r="H85" s="51" t="str">
        <f aca="false">IF(INDEX(SAU_Status,MATCH("Base|"&amp;$B85,SAU_Key,0))="O",INDEX(SAU_PP,MATCH("Base|"&amp;$B85,SAU_Key,0))*INDEX(RelUni,MATCH($B85,Cov_Cod,0),5)*(1+sig_SAU)/(1-load_SAU)*(1+tax_SAU),IF(INDEX(SAU_Status,MATCH("Base|"&amp;$B85,SAU_Key,0))="B","Incluída","n.d."))</f>
        <v>Incluída</v>
      </c>
      <c r="I85" s="51" t="str">
        <f aca="false">IF(INDEX(SAU_Status,MATCH("Conforto|"&amp;$B85,SAU_Key,0))="O",INDEX(SAU_PP,MATCH("Conforto|"&amp;$B85,SAU_Key,0))*INDEX(RelUni,MATCH($B85,Cov_Cod,0),1)*(1+sig_SAU)/(1-load_SAU)*(1+tax_SAU),IF(INDEX(SAU_Status,MATCH("Conforto|"&amp;$B85,SAU_Key,0))="B","Incluída","n.d."))</f>
        <v>Incluída</v>
      </c>
      <c r="J85" s="51" t="str">
        <f aca="false">IF(INDEX(SAU_Status,MATCH("Conforto|"&amp;$B85,SAU_Key,0))="O",INDEX(SAU_PP,MATCH("Conforto|"&amp;$B85,SAU_Key,0))*INDEX(RelUni,MATCH($B85,Cov_Cod,0),2)*(1+sig_SAU)/(1-load_SAU)*(1+tax_SAU),IF(INDEX(SAU_Status,MATCH("Conforto|"&amp;$B85,SAU_Key,0))="B","Incluída","n.d."))</f>
        <v>Incluída</v>
      </c>
      <c r="K85" s="51" t="str">
        <f aca="false">IF(INDEX(SAU_Status,MATCH("Conforto|"&amp;$B85,SAU_Key,0))="O",INDEX(SAU_PP,MATCH("Conforto|"&amp;$B85,SAU_Key,0))*INDEX(RelUni,MATCH($B85,Cov_Cod,0),3)*(1+sig_SAU)/(1-load_SAU)*(1+tax_SAU),IF(INDEX(SAU_Status,MATCH("Conforto|"&amp;$B85,SAU_Key,0))="B","Incluída","n.d."))</f>
        <v>Incluída</v>
      </c>
      <c r="L85" s="51" t="str">
        <f aca="false">IF(INDEX(SAU_Status,MATCH("Conforto|"&amp;$B85,SAU_Key,0))="O",INDEX(SAU_PP,MATCH("Conforto|"&amp;$B85,SAU_Key,0))*INDEX(RelUni,MATCH($B85,Cov_Cod,0),4)*(1+sig_SAU)/(1-load_SAU)*(1+tax_SAU),IF(INDEX(SAU_Status,MATCH("Conforto|"&amp;$B85,SAU_Key,0))="B","Incluída","n.d."))</f>
        <v>Incluída</v>
      </c>
      <c r="M85" s="51" t="str">
        <f aca="false">IF(INDEX(SAU_Status,MATCH("Conforto|"&amp;$B85,SAU_Key,0))="O",INDEX(SAU_PP,MATCH("Conforto|"&amp;$B85,SAU_Key,0))*INDEX(RelUni,MATCH($B85,Cov_Cod,0),5)*(1+sig_SAU)/(1-load_SAU)*(1+tax_SAU),IF(INDEX(SAU_Status,MATCH("Conforto|"&amp;$B85,SAU_Key,0))="B","Incluída","n.d."))</f>
        <v>Incluída</v>
      </c>
      <c r="N85" s="51" t="str">
        <f aca="false">IF(INDEX(SAU_Status,MATCH("Premium|"&amp;$B85,SAU_Key,0))="O",INDEX(SAU_PP,MATCH("Premium|"&amp;$B85,SAU_Key,0))*INDEX(RelUni,MATCH($B85,Cov_Cod,0),1)*(1+sig_SAU)/(1-load_SAU)*(1+tax_SAU),IF(INDEX(SAU_Status,MATCH("Premium|"&amp;$B85,SAU_Key,0))="B","Incluída","n.d."))</f>
        <v>Incluída</v>
      </c>
      <c r="O85" s="51" t="str">
        <f aca="false">IF(INDEX(SAU_Status,MATCH("Premium|"&amp;$B85,SAU_Key,0))="O",INDEX(SAU_PP,MATCH("Premium|"&amp;$B85,SAU_Key,0))*INDEX(RelUni,MATCH($B85,Cov_Cod,0),2)*(1+sig_SAU)/(1-load_SAU)*(1+tax_SAU),IF(INDEX(SAU_Status,MATCH("Premium|"&amp;$B85,SAU_Key,0))="B","Incluída","n.d."))</f>
        <v>Incluída</v>
      </c>
      <c r="P85" s="51" t="str">
        <f aca="false">IF(INDEX(SAU_Status,MATCH("Premium|"&amp;$B85,SAU_Key,0))="O",INDEX(SAU_PP,MATCH("Premium|"&amp;$B85,SAU_Key,0))*INDEX(RelUni,MATCH($B85,Cov_Cod,0),3)*(1+sig_SAU)/(1-load_SAU)*(1+tax_SAU),IF(INDEX(SAU_Status,MATCH("Premium|"&amp;$B85,SAU_Key,0))="B","Incluída","n.d."))</f>
        <v>Incluída</v>
      </c>
      <c r="Q85" s="51" t="str">
        <f aca="false">IF(INDEX(SAU_Status,MATCH("Premium|"&amp;$B85,SAU_Key,0))="O",INDEX(SAU_PP,MATCH("Premium|"&amp;$B85,SAU_Key,0))*INDEX(RelUni,MATCH($B85,Cov_Cod,0),4)*(1+sig_SAU)/(1-load_SAU)*(1+tax_SAU),IF(INDEX(SAU_Status,MATCH("Premium|"&amp;$B85,SAU_Key,0))="B","Incluída","n.d."))</f>
        <v>Incluída</v>
      </c>
      <c r="R85" s="51" t="str">
        <f aca="false">IF(INDEX(SAU_Status,MATCH("Premium|"&amp;$B85,SAU_Key,0))="O",INDEX(SAU_PP,MATCH("Premium|"&amp;$B85,SAU_Key,0))*INDEX(RelUni,MATCH($B85,Cov_Cod,0),5)*(1+sig_SAU)/(1-load_SAU)*(1+tax_SAU),IF(INDEX(SAU_Status,MATCH("Premium|"&amp;$B85,SAU_Key,0))="B","Incluída","n.d."))</f>
        <v>Incluída</v>
      </c>
    </row>
    <row r="86" customFormat="false" ht="15" hidden="false" customHeight="false" outlineLevel="0" collapsed="false">
      <c r="B86" s="21" t="s">
        <v>172</v>
      </c>
      <c r="C86" s="38" t="str">
        <f aca="false">INDEX(Cov_Nome,MATCH(B86,Cov_Cod,0))</f>
        <v>Medicamentos em Ambulatório (Farmácia)</v>
      </c>
      <c r="D86" s="52" t="str">
        <f aca="false">IF(INDEX(SAU_Status,MATCH("Base|"&amp;$B86,SAU_Key,0))="O",INDEX(SAU_PP,MATCH("Base|"&amp;$B86,SAU_Key,0))*INDEX(RelUni,MATCH($B86,Cov_Cod,0),1)*(1+sig_SAU)/(1-load_SAU)*(1+tax_SAU),IF(INDEX(SAU_Status,MATCH("Base|"&amp;$B86,SAU_Key,0))="B","Incluída","n.d."))</f>
        <v>n.d.</v>
      </c>
      <c r="E86" s="52" t="str">
        <f aca="false">IF(INDEX(SAU_Status,MATCH("Base|"&amp;$B86,SAU_Key,0))="O",INDEX(SAU_PP,MATCH("Base|"&amp;$B86,SAU_Key,0))*INDEX(RelUni,MATCH($B86,Cov_Cod,0),2)*(1+sig_SAU)/(1-load_SAU)*(1+tax_SAU),IF(INDEX(SAU_Status,MATCH("Base|"&amp;$B86,SAU_Key,0))="B","Incluída","n.d."))</f>
        <v>n.d.</v>
      </c>
      <c r="F86" s="52" t="str">
        <f aca="false">IF(INDEX(SAU_Status,MATCH("Base|"&amp;$B86,SAU_Key,0))="O",INDEX(SAU_PP,MATCH("Base|"&amp;$B86,SAU_Key,0))*INDEX(RelUni,MATCH($B86,Cov_Cod,0),3)*(1+sig_SAU)/(1-load_SAU)*(1+tax_SAU),IF(INDEX(SAU_Status,MATCH("Base|"&amp;$B86,SAU_Key,0))="B","Incluída","n.d."))</f>
        <v>n.d.</v>
      </c>
      <c r="G86" s="52" t="str">
        <f aca="false">IF(INDEX(SAU_Status,MATCH("Base|"&amp;$B86,SAU_Key,0))="O",INDEX(SAU_PP,MATCH("Base|"&amp;$B86,SAU_Key,0))*INDEX(RelUni,MATCH($B86,Cov_Cod,0),4)*(1+sig_SAU)/(1-load_SAU)*(1+tax_SAU),IF(INDEX(SAU_Status,MATCH("Base|"&amp;$B86,SAU_Key,0))="B","Incluída","n.d."))</f>
        <v>n.d.</v>
      </c>
      <c r="H86" s="52" t="str">
        <f aca="false">IF(INDEX(SAU_Status,MATCH("Base|"&amp;$B86,SAU_Key,0))="O",INDEX(SAU_PP,MATCH("Base|"&amp;$B86,SAU_Key,0))*INDEX(RelUni,MATCH($B86,Cov_Cod,0),5)*(1+sig_SAU)/(1-load_SAU)*(1+tax_SAU),IF(INDEX(SAU_Status,MATCH("Base|"&amp;$B86,SAU_Key,0))="B","Incluída","n.d."))</f>
        <v>n.d.</v>
      </c>
      <c r="I86" s="52" t="n">
        <f aca="false">IF(INDEX(SAU_Status,MATCH("Conforto|"&amp;$B86,SAU_Key,0))="O",INDEX(SAU_PP,MATCH("Conforto|"&amp;$B86,SAU_Key,0))*INDEX(RelUni,MATCH($B86,Cov_Cod,0),1)*(1+sig_SAU)/(1-load_SAU)*(1+tax_SAU),IF(INDEX(SAU_Status,MATCH("Conforto|"&amp;$B86,SAU_Key,0))="B","Incluída","n.d."))</f>
        <v>68830.9802328183</v>
      </c>
      <c r="J86" s="52" t="n">
        <f aca="false">IF(INDEX(SAU_Status,MATCH("Conforto|"&amp;$B86,SAU_Key,0))="O",INDEX(SAU_PP,MATCH("Conforto|"&amp;$B86,SAU_Key,0))*INDEX(RelUni,MATCH($B86,Cov_Cod,0),2)*(1+sig_SAU)/(1-load_SAU)*(1+tax_SAU),IF(INDEX(SAU_Status,MATCH("Conforto|"&amp;$B86,SAU_Key,0))="B","Incluída","n.d."))</f>
        <v>126109.90783915</v>
      </c>
      <c r="K86" s="52" t="n">
        <f aca="false">IF(INDEX(SAU_Status,MATCH("Conforto|"&amp;$B86,SAU_Key,0))="O",INDEX(SAU_PP,MATCH("Conforto|"&amp;$B86,SAU_Key,0))*INDEX(RelUni,MATCH($B86,Cov_Cod,0),3)*(1+sig_SAU)/(1-load_SAU)*(1+tax_SAU),IF(INDEX(SAU_Status,MATCH("Conforto|"&amp;$B86,SAU_Key,0))="B","Incluída","n.d."))</f>
        <v>178960.548605327</v>
      </c>
      <c r="L86" s="52" t="n">
        <f aca="false">IF(INDEX(SAU_Status,MATCH("Conforto|"&amp;$B86,SAU_Key,0))="O",INDEX(SAU_PP,MATCH("Conforto|"&amp;$B86,SAU_Key,0))*INDEX(RelUni,MATCH($B86,Cov_Cod,0),4)*(1+sig_SAU)/(1-load_SAU)*(1+tax_SAU),IF(INDEX(SAU_Status,MATCH("Conforto|"&amp;$B86,SAU_Key,0))="B","Incluída","n.d."))</f>
        <v>280030.312742064</v>
      </c>
      <c r="M86" s="52" t="n">
        <f aca="false">IF(INDEX(SAU_Status,MATCH("Conforto|"&amp;$B86,SAU_Key,0))="O",INDEX(SAU_PP,MATCH("Conforto|"&amp;$B86,SAU_Key,0))*INDEX(RelUni,MATCH($B86,Cov_Cod,0),5)*(1+sig_SAU)/(1-load_SAU)*(1+tax_SAU),IF(INDEX(SAU_Status,MATCH("Conforto|"&amp;$B86,SAU_Key,0))="B","Incluída","n.d."))</f>
        <v>360038.973525511</v>
      </c>
      <c r="N86" s="52" t="str">
        <f aca="false">IF(INDEX(SAU_Status,MATCH("Premium|"&amp;$B86,SAU_Key,0))="O",INDEX(SAU_PP,MATCH("Premium|"&amp;$B86,SAU_Key,0))*INDEX(RelUni,MATCH($B86,Cov_Cod,0),1)*(1+sig_SAU)/(1-load_SAU)*(1+tax_SAU),IF(INDEX(SAU_Status,MATCH("Premium|"&amp;$B86,SAU_Key,0))="B","Incluída","n.d."))</f>
        <v>Incluída</v>
      </c>
      <c r="O86" s="52" t="str">
        <f aca="false">IF(INDEX(SAU_Status,MATCH("Premium|"&amp;$B86,SAU_Key,0))="O",INDEX(SAU_PP,MATCH("Premium|"&amp;$B86,SAU_Key,0))*INDEX(RelUni,MATCH($B86,Cov_Cod,0),2)*(1+sig_SAU)/(1-load_SAU)*(1+tax_SAU),IF(INDEX(SAU_Status,MATCH("Premium|"&amp;$B86,SAU_Key,0))="B","Incluída","n.d."))</f>
        <v>Incluída</v>
      </c>
      <c r="P86" s="52" t="str">
        <f aca="false">IF(INDEX(SAU_Status,MATCH("Premium|"&amp;$B86,SAU_Key,0))="O",INDEX(SAU_PP,MATCH("Premium|"&amp;$B86,SAU_Key,0))*INDEX(RelUni,MATCH($B86,Cov_Cod,0),3)*(1+sig_SAU)/(1-load_SAU)*(1+tax_SAU),IF(INDEX(SAU_Status,MATCH("Premium|"&amp;$B86,SAU_Key,0))="B","Incluída","n.d."))</f>
        <v>Incluída</v>
      </c>
      <c r="Q86" s="52" t="str">
        <f aca="false">IF(INDEX(SAU_Status,MATCH("Premium|"&amp;$B86,SAU_Key,0))="O",INDEX(SAU_PP,MATCH("Premium|"&amp;$B86,SAU_Key,0))*INDEX(RelUni,MATCH($B86,Cov_Cod,0),4)*(1+sig_SAU)/(1-load_SAU)*(1+tax_SAU),IF(INDEX(SAU_Status,MATCH("Premium|"&amp;$B86,SAU_Key,0))="B","Incluída","n.d."))</f>
        <v>Incluída</v>
      </c>
      <c r="R86" s="52" t="str">
        <f aca="false">IF(INDEX(SAU_Status,MATCH("Premium|"&amp;$B86,SAU_Key,0))="O",INDEX(SAU_PP,MATCH("Premium|"&amp;$B86,SAU_Key,0))*INDEX(RelUni,MATCH($B86,Cov_Cod,0),5)*(1+sig_SAU)/(1-load_SAU)*(1+tax_SAU),IF(INDEX(SAU_Status,MATCH("Premium|"&amp;$B86,SAU_Key,0))="B","Incluída","n.d."))</f>
        <v>Incluída</v>
      </c>
    </row>
    <row r="87" customFormat="false" ht="15" hidden="false" customHeight="false" outlineLevel="0" collapsed="false">
      <c r="B87" s="16" t="s">
        <v>176</v>
      </c>
      <c r="C87" s="32" t="str">
        <f aca="false">INDEX(Cov_Nome,MATCH(B87,Cov_Cod,0))</f>
        <v>Estomatologia (tratamentos)</v>
      </c>
      <c r="D87" s="51" t="str">
        <f aca="false">IF(INDEX(SAU_Status,MATCH("Base|"&amp;$B87,SAU_Key,0))="O",INDEX(SAU_PP,MATCH("Base|"&amp;$B87,SAU_Key,0))*INDEX(RelUni,MATCH($B87,Cov_Cod,0),1)*(1+sig_SAU)/(1-load_SAU)*(1+tax_SAU),IF(INDEX(SAU_Status,MATCH("Base|"&amp;$B87,SAU_Key,0))="B","Incluída","n.d."))</f>
        <v>n.d.</v>
      </c>
      <c r="E87" s="51" t="str">
        <f aca="false">IF(INDEX(SAU_Status,MATCH("Base|"&amp;$B87,SAU_Key,0))="O",INDEX(SAU_PP,MATCH("Base|"&amp;$B87,SAU_Key,0))*INDEX(RelUni,MATCH($B87,Cov_Cod,0),2)*(1+sig_SAU)/(1-load_SAU)*(1+tax_SAU),IF(INDEX(SAU_Status,MATCH("Base|"&amp;$B87,SAU_Key,0))="B","Incluída","n.d."))</f>
        <v>n.d.</v>
      </c>
      <c r="F87" s="51" t="str">
        <f aca="false">IF(INDEX(SAU_Status,MATCH("Base|"&amp;$B87,SAU_Key,0))="O",INDEX(SAU_PP,MATCH("Base|"&amp;$B87,SAU_Key,0))*INDEX(RelUni,MATCH($B87,Cov_Cod,0),3)*(1+sig_SAU)/(1-load_SAU)*(1+tax_SAU),IF(INDEX(SAU_Status,MATCH("Base|"&amp;$B87,SAU_Key,0))="B","Incluída","n.d."))</f>
        <v>n.d.</v>
      </c>
      <c r="G87" s="51" t="str">
        <f aca="false">IF(INDEX(SAU_Status,MATCH("Base|"&amp;$B87,SAU_Key,0))="O",INDEX(SAU_PP,MATCH("Base|"&amp;$B87,SAU_Key,0))*INDEX(RelUni,MATCH($B87,Cov_Cod,0),4)*(1+sig_SAU)/(1-load_SAU)*(1+tax_SAU),IF(INDEX(SAU_Status,MATCH("Base|"&amp;$B87,SAU_Key,0))="B","Incluída","n.d."))</f>
        <v>n.d.</v>
      </c>
      <c r="H87" s="51" t="str">
        <f aca="false">IF(INDEX(SAU_Status,MATCH("Base|"&amp;$B87,SAU_Key,0))="O",INDEX(SAU_PP,MATCH("Base|"&amp;$B87,SAU_Key,0))*INDEX(RelUni,MATCH($B87,Cov_Cod,0),5)*(1+sig_SAU)/(1-load_SAU)*(1+tax_SAU),IF(INDEX(SAU_Status,MATCH("Base|"&amp;$B87,SAU_Key,0))="B","Incluída","n.d."))</f>
        <v>n.d.</v>
      </c>
      <c r="I87" s="51" t="n">
        <f aca="false">IF(INDEX(SAU_Status,MATCH("Conforto|"&amp;$B87,SAU_Key,0))="O",INDEX(SAU_PP,MATCH("Conforto|"&amp;$B87,SAU_Key,0))*INDEX(RelUni,MATCH($B87,Cov_Cod,0),1)*(1+sig_SAU)/(1-load_SAU)*(1+tax_SAU),IF(INDEX(SAU_Status,MATCH("Conforto|"&amp;$B87,SAU_Key,0))="B","Incluída","n.d."))</f>
        <v>44598.2817643082</v>
      </c>
      <c r="J87" s="51" t="n">
        <f aca="false">IF(INDEX(SAU_Status,MATCH("Conforto|"&amp;$B87,SAU_Key,0))="O",INDEX(SAU_PP,MATCH("Conforto|"&amp;$B87,SAU_Key,0))*INDEX(RelUni,MATCH($B87,Cov_Cod,0),2)*(1+sig_SAU)/(1-load_SAU)*(1+tax_SAU),IF(INDEX(SAU_Status,MATCH("Conforto|"&amp;$B87,SAU_Key,0))="B","Incluída","n.d."))</f>
        <v>56224.8391761265</v>
      </c>
      <c r="K87" s="51" t="n">
        <f aca="false">IF(INDEX(SAU_Status,MATCH("Conforto|"&amp;$B87,SAU_Key,0))="O",INDEX(SAU_PP,MATCH("Conforto|"&amp;$B87,SAU_Key,0))*INDEX(RelUni,MATCH($B87,Cov_Cod,0),3)*(1+sig_SAU)/(1-load_SAU)*(1+tax_SAU),IF(INDEX(SAU_Status,MATCH("Conforto|"&amp;$B87,SAU_Key,0))="B","Incluída","n.d."))</f>
        <v>60076.5089648622</v>
      </c>
      <c r="L87" s="51" t="n">
        <f aca="false">IF(INDEX(SAU_Status,MATCH("Conforto|"&amp;$B87,SAU_Key,0))="O",INDEX(SAU_PP,MATCH("Conforto|"&amp;$B87,SAU_Key,0))*INDEX(RelUni,MATCH($B87,Cov_Cod,0),4)*(1+sig_SAU)/(1-load_SAU)*(1+tax_SAU),IF(INDEX(SAU_Status,MATCH("Conforto|"&amp;$B87,SAU_Key,0))="B","Incluída","n.d."))</f>
        <v>56257.9632713169</v>
      </c>
      <c r="M87" s="51" t="n">
        <f aca="false">IF(INDEX(SAU_Status,MATCH("Conforto|"&amp;$B87,SAU_Key,0))="O",INDEX(SAU_PP,MATCH("Conforto|"&amp;$B87,SAU_Key,0))*INDEX(RelUni,MATCH($B87,Cov_Cod,0),5)*(1+sig_SAU)/(1-load_SAU)*(1+tax_SAU),IF(INDEX(SAU_Status,MATCH("Conforto|"&amp;$B87,SAU_Key,0))="B","Incluída","n.d."))</f>
        <v>41974.8534252313</v>
      </c>
      <c r="N87" s="51" t="str">
        <f aca="false">IF(INDEX(SAU_Status,MATCH("Premium|"&amp;$B87,SAU_Key,0))="O",INDEX(SAU_PP,MATCH("Premium|"&amp;$B87,SAU_Key,0))*INDEX(RelUni,MATCH($B87,Cov_Cod,0),1)*(1+sig_SAU)/(1-load_SAU)*(1+tax_SAU),IF(INDEX(SAU_Status,MATCH("Premium|"&amp;$B87,SAU_Key,0))="B","Incluída","n.d."))</f>
        <v>Incluída</v>
      </c>
      <c r="O87" s="51" t="str">
        <f aca="false">IF(INDEX(SAU_Status,MATCH("Premium|"&amp;$B87,SAU_Key,0))="O",INDEX(SAU_PP,MATCH("Premium|"&amp;$B87,SAU_Key,0))*INDEX(RelUni,MATCH($B87,Cov_Cod,0),2)*(1+sig_SAU)/(1-load_SAU)*(1+tax_SAU),IF(INDEX(SAU_Status,MATCH("Premium|"&amp;$B87,SAU_Key,0))="B","Incluída","n.d."))</f>
        <v>Incluída</v>
      </c>
      <c r="P87" s="51" t="str">
        <f aca="false">IF(INDEX(SAU_Status,MATCH("Premium|"&amp;$B87,SAU_Key,0))="O",INDEX(SAU_PP,MATCH("Premium|"&amp;$B87,SAU_Key,0))*INDEX(RelUni,MATCH($B87,Cov_Cod,0),3)*(1+sig_SAU)/(1-load_SAU)*(1+tax_SAU),IF(INDEX(SAU_Status,MATCH("Premium|"&amp;$B87,SAU_Key,0))="B","Incluída","n.d."))</f>
        <v>Incluída</v>
      </c>
      <c r="Q87" s="51" t="str">
        <f aca="false">IF(INDEX(SAU_Status,MATCH("Premium|"&amp;$B87,SAU_Key,0))="O",INDEX(SAU_PP,MATCH("Premium|"&amp;$B87,SAU_Key,0))*INDEX(RelUni,MATCH($B87,Cov_Cod,0),4)*(1+sig_SAU)/(1-load_SAU)*(1+tax_SAU),IF(INDEX(SAU_Status,MATCH("Premium|"&amp;$B87,SAU_Key,0))="B","Incluída","n.d."))</f>
        <v>Incluída</v>
      </c>
      <c r="R87" s="51" t="str">
        <f aca="false">IF(INDEX(SAU_Status,MATCH("Premium|"&amp;$B87,SAU_Key,0))="O",INDEX(SAU_PP,MATCH("Premium|"&amp;$B87,SAU_Key,0))*INDEX(RelUni,MATCH($B87,Cov_Cod,0),5)*(1+sig_SAU)/(1-load_SAU)*(1+tax_SAU),IF(INDEX(SAU_Status,MATCH("Premium|"&amp;$B87,SAU_Key,0))="B","Incluída","n.d."))</f>
        <v>Incluída</v>
      </c>
    </row>
    <row r="88" customFormat="false" ht="15" hidden="false" customHeight="false" outlineLevel="0" collapsed="false">
      <c r="B88" s="21" t="s">
        <v>180</v>
      </c>
      <c r="C88" s="38" t="str">
        <f aca="false">INDEX(Cov_Nome,MATCH(B88,Cov_Cod,0))</f>
        <v>Próteses Dentárias</v>
      </c>
      <c r="D88" s="52" t="str">
        <f aca="false">IF(INDEX(SAU_Status,MATCH("Base|"&amp;$B88,SAU_Key,0))="O",INDEX(SAU_PP,MATCH("Base|"&amp;$B88,SAU_Key,0))*INDEX(RelUni,MATCH($B88,Cov_Cod,0),1)*(1+sig_SAU)/(1-load_SAU)*(1+tax_SAU),IF(INDEX(SAU_Status,MATCH("Base|"&amp;$B88,SAU_Key,0))="B","Incluída","n.d."))</f>
        <v>n.d.</v>
      </c>
      <c r="E88" s="52" t="str">
        <f aca="false">IF(INDEX(SAU_Status,MATCH("Base|"&amp;$B88,SAU_Key,0))="O",INDEX(SAU_PP,MATCH("Base|"&amp;$B88,SAU_Key,0))*INDEX(RelUni,MATCH($B88,Cov_Cod,0),2)*(1+sig_SAU)/(1-load_SAU)*(1+tax_SAU),IF(INDEX(SAU_Status,MATCH("Base|"&amp;$B88,SAU_Key,0))="B","Incluída","n.d."))</f>
        <v>n.d.</v>
      </c>
      <c r="F88" s="52" t="str">
        <f aca="false">IF(INDEX(SAU_Status,MATCH("Base|"&amp;$B88,SAU_Key,0))="O",INDEX(SAU_PP,MATCH("Base|"&amp;$B88,SAU_Key,0))*INDEX(RelUni,MATCH($B88,Cov_Cod,0),3)*(1+sig_SAU)/(1-load_SAU)*(1+tax_SAU),IF(INDEX(SAU_Status,MATCH("Base|"&amp;$B88,SAU_Key,0))="B","Incluída","n.d."))</f>
        <v>n.d.</v>
      </c>
      <c r="G88" s="52" t="str">
        <f aca="false">IF(INDEX(SAU_Status,MATCH("Base|"&amp;$B88,SAU_Key,0))="O",INDEX(SAU_PP,MATCH("Base|"&amp;$B88,SAU_Key,0))*INDEX(RelUni,MATCH($B88,Cov_Cod,0),4)*(1+sig_SAU)/(1-load_SAU)*(1+tax_SAU),IF(INDEX(SAU_Status,MATCH("Base|"&amp;$B88,SAU_Key,0))="B","Incluída","n.d."))</f>
        <v>n.d.</v>
      </c>
      <c r="H88" s="52" t="str">
        <f aca="false">IF(INDEX(SAU_Status,MATCH("Base|"&amp;$B88,SAU_Key,0))="O",INDEX(SAU_PP,MATCH("Base|"&amp;$B88,SAU_Key,0))*INDEX(RelUni,MATCH($B88,Cov_Cod,0),5)*(1+sig_SAU)/(1-load_SAU)*(1+tax_SAU),IF(INDEX(SAU_Status,MATCH("Base|"&amp;$B88,SAU_Key,0))="B","Incluída","n.d."))</f>
        <v>n.d.</v>
      </c>
      <c r="I88" s="52" t="n">
        <f aca="false">IF(INDEX(SAU_Status,MATCH("Conforto|"&amp;$B88,SAU_Key,0))="O",INDEX(SAU_PP,MATCH("Conforto|"&amp;$B88,SAU_Key,0))*INDEX(RelUni,MATCH($B88,Cov_Cod,0),1)*(1+sig_SAU)/(1-load_SAU)*(1+tax_SAU),IF(INDEX(SAU_Status,MATCH("Conforto|"&amp;$B88,SAU_Key,0))="B","Incluída","n.d."))</f>
        <v>446.72812695682</v>
      </c>
      <c r="J88" s="52" t="n">
        <f aca="false">IF(INDEX(SAU_Status,MATCH("Conforto|"&amp;$B88,SAU_Key,0))="O",INDEX(SAU_PP,MATCH("Conforto|"&amp;$B88,SAU_Key,0))*INDEX(RelUni,MATCH($B88,Cov_Cod,0),2)*(1+sig_SAU)/(1-load_SAU)*(1+tax_SAU),IF(INDEX(SAU_Status,MATCH("Conforto|"&amp;$B88,SAU_Key,0))="B","Incluída","n.d."))</f>
        <v>4467.2812695682</v>
      </c>
      <c r="K88" s="52" t="n">
        <f aca="false">IF(INDEX(SAU_Status,MATCH("Conforto|"&amp;$B88,SAU_Key,0))="O",INDEX(SAU_PP,MATCH("Conforto|"&amp;$B88,SAU_Key,0))*INDEX(RelUni,MATCH($B88,Cov_Cod,0),3)*(1+sig_SAU)/(1-load_SAU)*(1+tax_SAU),IF(INDEX(SAU_Status,MATCH("Conforto|"&amp;$B88,SAU_Key,0))="B","Incluída","n.d."))</f>
        <v>9828.01879305004</v>
      </c>
      <c r="L88" s="52" t="n">
        <f aca="false">IF(INDEX(SAU_Status,MATCH("Conforto|"&amp;$B88,SAU_Key,0))="O",INDEX(SAU_PP,MATCH("Conforto|"&amp;$B88,SAU_Key,0))*INDEX(RelUni,MATCH($B88,Cov_Cod,0),4)*(1+sig_SAU)/(1-load_SAU)*(1+tax_SAU),IF(INDEX(SAU_Status,MATCH("Conforto|"&amp;$B88,SAU_Key,0))="B","Incluída","n.d."))</f>
        <v>15635.4844434887</v>
      </c>
      <c r="M88" s="52" t="n">
        <f aca="false">IF(INDEX(SAU_Status,MATCH("Conforto|"&amp;$B88,SAU_Key,0))="O",INDEX(SAU_PP,MATCH("Conforto|"&amp;$B88,SAU_Key,0))*INDEX(RelUni,MATCH($B88,Cov_Cod,0),5)*(1+sig_SAU)/(1-load_SAU)*(1+tax_SAU),IF(INDEX(SAU_Status,MATCH("Conforto|"&amp;$B88,SAU_Key,0))="B","Incluída","n.d."))</f>
        <v>17869.1250782728</v>
      </c>
      <c r="N88" s="52" t="str">
        <f aca="false">IF(INDEX(SAU_Status,MATCH("Premium|"&amp;$B88,SAU_Key,0))="O",INDEX(SAU_PP,MATCH("Premium|"&amp;$B88,SAU_Key,0))*INDEX(RelUni,MATCH($B88,Cov_Cod,0),1)*(1+sig_SAU)/(1-load_SAU)*(1+tax_SAU),IF(INDEX(SAU_Status,MATCH("Premium|"&amp;$B88,SAU_Key,0))="B","Incluída","n.d."))</f>
        <v>Incluída</v>
      </c>
      <c r="O88" s="52" t="str">
        <f aca="false">IF(INDEX(SAU_Status,MATCH("Premium|"&amp;$B88,SAU_Key,0))="O",INDEX(SAU_PP,MATCH("Premium|"&amp;$B88,SAU_Key,0))*INDEX(RelUni,MATCH($B88,Cov_Cod,0),2)*(1+sig_SAU)/(1-load_SAU)*(1+tax_SAU),IF(INDEX(SAU_Status,MATCH("Premium|"&amp;$B88,SAU_Key,0))="B","Incluída","n.d."))</f>
        <v>Incluída</v>
      </c>
      <c r="P88" s="52" t="str">
        <f aca="false">IF(INDEX(SAU_Status,MATCH("Premium|"&amp;$B88,SAU_Key,0))="O",INDEX(SAU_PP,MATCH("Premium|"&amp;$B88,SAU_Key,0))*INDEX(RelUni,MATCH($B88,Cov_Cod,0),3)*(1+sig_SAU)/(1-load_SAU)*(1+tax_SAU),IF(INDEX(SAU_Status,MATCH("Premium|"&amp;$B88,SAU_Key,0))="B","Incluída","n.d."))</f>
        <v>Incluída</v>
      </c>
      <c r="Q88" s="52" t="str">
        <f aca="false">IF(INDEX(SAU_Status,MATCH("Premium|"&amp;$B88,SAU_Key,0))="O",INDEX(SAU_PP,MATCH("Premium|"&amp;$B88,SAU_Key,0))*INDEX(RelUni,MATCH($B88,Cov_Cod,0),4)*(1+sig_SAU)/(1-load_SAU)*(1+tax_SAU),IF(INDEX(SAU_Status,MATCH("Premium|"&amp;$B88,SAU_Key,0))="B","Incluída","n.d."))</f>
        <v>Incluída</v>
      </c>
      <c r="R88" s="52" t="str">
        <f aca="false">IF(INDEX(SAU_Status,MATCH("Premium|"&amp;$B88,SAU_Key,0))="O",INDEX(SAU_PP,MATCH("Premium|"&amp;$B88,SAU_Key,0))*INDEX(RelUni,MATCH($B88,Cov_Cod,0),5)*(1+sig_SAU)/(1-load_SAU)*(1+tax_SAU),IF(INDEX(SAU_Status,MATCH("Premium|"&amp;$B88,SAU_Key,0))="B","Incluída","n.d."))</f>
        <v>Incluída</v>
      </c>
    </row>
    <row r="89" customFormat="false" ht="15" hidden="false" customHeight="false" outlineLevel="0" collapsed="false">
      <c r="B89" s="16" t="s">
        <v>184</v>
      </c>
      <c r="C89" s="32" t="str">
        <f aca="false">INDEX(Cov_Nome,MATCH(B89,Cov_Cod,0))</f>
        <v>Óptica — Lentes e Armações</v>
      </c>
      <c r="D89" s="51" t="str">
        <f aca="false">IF(INDEX(SAU_Status,MATCH("Base|"&amp;$B89,SAU_Key,0))="O",INDEX(SAU_PP,MATCH("Base|"&amp;$B89,SAU_Key,0))*INDEX(RelUni,MATCH($B89,Cov_Cod,0),1)*(1+sig_SAU)/(1-load_SAU)*(1+tax_SAU),IF(INDEX(SAU_Status,MATCH("Base|"&amp;$B89,SAU_Key,0))="B","Incluída","n.d."))</f>
        <v>n.d.</v>
      </c>
      <c r="E89" s="51" t="str">
        <f aca="false">IF(INDEX(SAU_Status,MATCH("Base|"&amp;$B89,SAU_Key,0))="O",INDEX(SAU_PP,MATCH("Base|"&amp;$B89,SAU_Key,0))*INDEX(RelUni,MATCH($B89,Cov_Cod,0),2)*(1+sig_SAU)/(1-load_SAU)*(1+tax_SAU),IF(INDEX(SAU_Status,MATCH("Base|"&amp;$B89,SAU_Key,0))="B","Incluída","n.d."))</f>
        <v>n.d.</v>
      </c>
      <c r="F89" s="51" t="str">
        <f aca="false">IF(INDEX(SAU_Status,MATCH("Base|"&amp;$B89,SAU_Key,0))="O",INDEX(SAU_PP,MATCH("Base|"&amp;$B89,SAU_Key,0))*INDEX(RelUni,MATCH($B89,Cov_Cod,0),3)*(1+sig_SAU)/(1-load_SAU)*(1+tax_SAU),IF(INDEX(SAU_Status,MATCH("Base|"&amp;$B89,SAU_Key,0))="B","Incluída","n.d."))</f>
        <v>n.d.</v>
      </c>
      <c r="G89" s="51" t="str">
        <f aca="false">IF(INDEX(SAU_Status,MATCH("Base|"&amp;$B89,SAU_Key,0))="O",INDEX(SAU_PP,MATCH("Base|"&amp;$B89,SAU_Key,0))*INDEX(RelUni,MATCH($B89,Cov_Cod,0),4)*(1+sig_SAU)/(1-load_SAU)*(1+tax_SAU),IF(INDEX(SAU_Status,MATCH("Base|"&amp;$B89,SAU_Key,0))="B","Incluída","n.d."))</f>
        <v>n.d.</v>
      </c>
      <c r="H89" s="51" t="str">
        <f aca="false">IF(INDEX(SAU_Status,MATCH("Base|"&amp;$B89,SAU_Key,0))="O",INDEX(SAU_PP,MATCH("Base|"&amp;$B89,SAU_Key,0))*INDEX(RelUni,MATCH($B89,Cov_Cod,0),5)*(1+sig_SAU)/(1-load_SAU)*(1+tax_SAU),IF(INDEX(SAU_Status,MATCH("Base|"&amp;$B89,SAU_Key,0))="B","Incluída","n.d."))</f>
        <v>n.d.</v>
      </c>
      <c r="I89" s="51" t="n">
        <f aca="false">IF(INDEX(SAU_Status,MATCH("Conforto|"&amp;$B89,SAU_Key,0))="O",INDEX(SAU_PP,MATCH("Conforto|"&amp;$B89,SAU_Key,0))*INDEX(RelUni,MATCH($B89,Cov_Cod,0),1)*(1+sig_SAU)/(1-load_SAU)*(1+tax_SAU),IF(INDEX(SAU_Status,MATCH("Conforto|"&amp;$B89,SAU_Key,0))="B","Incluída","n.d."))</f>
        <v>13348.046487899</v>
      </c>
      <c r="J89" s="51" t="n">
        <f aca="false">IF(INDEX(SAU_Status,MATCH("Conforto|"&amp;$B89,SAU_Key,0))="O",INDEX(SAU_PP,MATCH("Conforto|"&amp;$B89,SAU_Key,0))*INDEX(RelUni,MATCH($B89,Cov_Cod,0),2)*(1+sig_SAU)/(1-load_SAU)*(1+tax_SAU),IF(INDEX(SAU_Status,MATCH("Conforto|"&amp;$B89,SAU_Key,0))="B","Incluída","n.d."))</f>
        <v>29466.9591173647</v>
      </c>
      <c r="K89" s="51" t="n">
        <f aca="false">IF(INDEX(SAU_Status,MATCH("Conforto|"&amp;$B89,SAU_Key,0))="O",INDEX(SAU_PP,MATCH("Conforto|"&amp;$B89,SAU_Key,0))*INDEX(RelUni,MATCH($B89,Cov_Cod,0),3)*(1+sig_SAU)/(1-load_SAU)*(1+tax_SAU),IF(INDEX(SAU_Status,MATCH("Conforto|"&amp;$B89,SAU_Key,0))="B","Incluída","n.d."))</f>
        <v>49077.5080484004</v>
      </c>
      <c r="L89" s="51" t="n">
        <f aca="false">IF(INDEX(SAU_Status,MATCH("Conforto|"&amp;$B89,SAU_Key,0))="O",INDEX(SAU_PP,MATCH("Conforto|"&amp;$B89,SAU_Key,0))*INDEX(RelUni,MATCH($B89,Cov_Cod,0),4)*(1+sig_SAU)/(1-load_SAU)*(1+tax_SAU),IF(INDEX(SAU_Status,MATCH("Conforto|"&amp;$B89,SAU_Key,0))="B","Incluída","n.d."))</f>
        <v>65936.6711124641</v>
      </c>
      <c r="M89" s="51" t="n">
        <f aca="false">IF(INDEX(SAU_Status,MATCH("Conforto|"&amp;$B89,SAU_Key,0))="O",INDEX(SAU_PP,MATCH("Conforto|"&amp;$B89,SAU_Key,0))*INDEX(RelUni,MATCH($B89,Cov_Cod,0),5)*(1+sig_SAU)/(1-load_SAU)*(1+tax_SAU),IF(INDEX(SAU_Status,MATCH("Conforto|"&amp;$B89,SAU_Key,0))="B","Incluída","n.d."))</f>
        <v>68822.6642445123</v>
      </c>
      <c r="N89" s="51" t="str">
        <f aca="false">IF(INDEX(SAU_Status,MATCH("Premium|"&amp;$B89,SAU_Key,0))="O",INDEX(SAU_PP,MATCH("Premium|"&amp;$B89,SAU_Key,0))*INDEX(RelUni,MATCH($B89,Cov_Cod,0),1)*(1+sig_SAU)/(1-load_SAU)*(1+tax_SAU),IF(INDEX(SAU_Status,MATCH("Premium|"&amp;$B89,SAU_Key,0))="B","Incluída","n.d."))</f>
        <v>Incluída</v>
      </c>
      <c r="O89" s="51" t="str">
        <f aca="false">IF(INDEX(SAU_Status,MATCH("Premium|"&amp;$B89,SAU_Key,0))="O",INDEX(SAU_PP,MATCH("Premium|"&amp;$B89,SAU_Key,0))*INDEX(RelUni,MATCH($B89,Cov_Cod,0),2)*(1+sig_SAU)/(1-load_SAU)*(1+tax_SAU),IF(INDEX(SAU_Status,MATCH("Premium|"&amp;$B89,SAU_Key,0))="B","Incluída","n.d."))</f>
        <v>Incluída</v>
      </c>
      <c r="P89" s="51" t="str">
        <f aca="false">IF(INDEX(SAU_Status,MATCH("Premium|"&amp;$B89,SAU_Key,0))="O",INDEX(SAU_PP,MATCH("Premium|"&amp;$B89,SAU_Key,0))*INDEX(RelUni,MATCH($B89,Cov_Cod,0),3)*(1+sig_SAU)/(1-load_SAU)*(1+tax_SAU),IF(INDEX(SAU_Status,MATCH("Premium|"&amp;$B89,SAU_Key,0))="B","Incluída","n.d."))</f>
        <v>Incluída</v>
      </c>
      <c r="Q89" s="51" t="str">
        <f aca="false">IF(INDEX(SAU_Status,MATCH("Premium|"&amp;$B89,SAU_Key,0))="O",INDEX(SAU_PP,MATCH("Premium|"&amp;$B89,SAU_Key,0))*INDEX(RelUni,MATCH($B89,Cov_Cod,0),4)*(1+sig_SAU)/(1-load_SAU)*(1+tax_SAU),IF(INDEX(SAU_Status,MATCH("Premium|"&amp;$B89,SAU_Key,0))="B","Incluída","n.d."))</f>
        <v>Incluída</v>
      </c>
      <c r="R89" s="51" t="str">
        <f aca="false">IF(INDEX(SAU_Status,MATCH("Premium|"&amp;$B89,SAU_Key,0))="O",INDEX(SAU_PP,MATCH("Premium|"&amp;$B89,SAU_Key,0))*INDEX(RelUni,MATCH($B89,Cov_Cod,0),5)*(1+sig_SAU)/(1-load_SAU)*(1+tax_SAU),IF(INDEX(SAU_Status,MATCH("Premium|"&amp;$B89,SAU_Key,0))="B","Incluída","n.d."))</f>
        <v>Incluída</v>
      </c>
    </row>
    <row r="90" customFormat="false" ht="15" hidden="false" customHeight="false" outlineLevel="0" collapsed="false">
      <c r="B90" s="21" t="s">
        <v>188</v>
      </c>
      <c r="C90" s="38" t="str">
        <f aca="false">INDEX(Cov_Nome,MATCH(B90,Cov_Cod,0))</f>
        <v>Medicina Preventiva e Check-up Anual</v>
      </c>
      <c r="D90" s="52" t="str">
        <f aca="false">IF(INDEX(SAU_Status,MATCH("Base|"&amp;$B90,SAU_Key,0))="O",INDEX(SAU_PP,MATCH("Base|"&amp;$B90,SAU_Key,0))*INDEX(RelUni,MATCH($B90,Cov_Cod,0),1)*(1+sig_SAU)/(1-load_SAU)*(1+tax_SAU),IF(INDEX(SAU_Status,MATCH("Base|"&amp;$B90,SAU_Key,0))="B","Incluída","n.d."))</f>
        <v>n.d.</v>
      </c>
      <c r="E90" s="52" t="str">
        <f aca="false">IF(INDEX(SAU_Status,MATCH("Base|"&amp;$B90,SAU_Key,0))="O",INDEX(SAU_PP,MATCH("Base|"&amp;$B90,SAU_Key,0))*INDEX(RelUni,MATCH($B90,Cov_Cod,0),2)*(1+sig_SAU)/(1-load_SAU)*(1+tax_SAU),IF(INDEX(SAU_Status,MATCH("Base|"&amp;$B90,SAU_Key,0))="B","Incluída","n.d."))</f>
        <v>n.d.</v>
      </c>
      <c r="F90" s="52" t="str">
        <f aca="false">IF(INDEX(SAU_Status,MATCH("Base|"&amp;$B90,SAU_Key,0))="O",INDEX(SAU_PP,MATCH("Base|"&amp;$B90,SAU_Key,0))*INDEX(RelUni,MATCH($B90,Cov_Cod,0),3)*(1+sig_SAU)/(1-load_SAU)*(1+tax_SAU),IF(INDEX(SAU_Status,MATCH("Base|"&amp;$B90,SAU_Key,0))="B","Incluída","n.d."))</f>
        <v>n.d.</v>
      </c>
      <c r="G90" s="52" t="str">
        <f aca="false">IF(INDEX(SAU_Status,MATCH("Base|"&amp;$B90,SAU_Key,0))="O",INDEX(SAU_PP,MATCH("Base|"&amp;$B90,SAU_Key,0))*INDEX(RelUni,MATCH($B90,Cov_Cod,0),4)*(1+sig_SAU)/(1-load_SAU)*(1+tax_SAU),IF(INDEX(SAU_Status,MATCH("Base|"&amp;$B90,SAU_Key,0))="B","Incluída","n.d."))</f>
        <v>n.d.</v>
      </c>
      <c r="H90" s="52" t="str">
        <f aca="false">IF(INDEX(SAU_Status,MATCH("Base|"&amp;$B90,SAU_Key,0))="O",INDEX(SAU_PP,MATCH("Base|"&amp;$B90,SAU_Key,0))*INDEX(RelUni,MATCH($B90,Cov_Cod,0),5)*(1+sig_SAU)/(1-load_SAU)*(1+tax_SAU),IF(INDEX(SAU_Status,MATCH("Base|"&amp;$B90,SAU_Key,0))="B","Incluída","n.d."))</f>
        <v>n.d.</v>
      </c>
      <c r="I90" s="52" t="n">
        <f aca="false">IF(INDEX(SAU_Status,MATCH("Conforto|"&amp;$B90,SAU_Key,0))="O",INDEX(SAU_PP,MATCH("Conforto|"&amp;$B90,SAU_Key,0))*INDEX(RelUni,MATCH($B90,Cov_Cod,0),1)*(1+sig_SAU)/(1-load_SAU)*(1+tax_SAU),IF(INDEX(SAU_Status,MATCH("Conforto|"&amp;$B90,SAU_Key,0))="B","Incluída","n.d."))</f>
        <v>41345.4516169829</v>
      </c>
      <c r="J90" s="52" t="n">
        <f aca="false">IF(INDEX(SAU_Status,MATCH("Conforto|"&amp;$B90,SAU_Key,0))="O",INDEX(SAU_PP,MATCH("Conforto|"&amp;$B90,SAU_Key,0))*INDEX(RelUni,MATCH($B90,Cov_Cod,0),2)*(1+sig_SAU)/(1-load_SAU)*(1+tax_SAU),IF(INDEX(SAU_Status,MATCH("Conforto|"&amp;$B90,SAU_Key,0))="B","Incluída","n.d."))</f>
        <v>72197.9287705649</v>
      </c>
      <c r="K90" s="52" t="n">
        <f aca="false">IF(INDEX(SAU_Status,MATCH("Conforto|"&amp;$B90,SAU_Key,0))="O",INDEX(SAU_PP,MATCH("Conforto|"&amp;$B90,SAU_Key,0))*INDEX(RelUni,MATCH($B90,Cov_Cod,0),3)*(1+sig_SAU)/(1-load_SAU)*(1+tax_SAU),IF(INDEX(SAU_Status,MATCH("Conforto|"&amp;$B90,SAU_Key,0))="B","Incluída","n.d."))</f>
        <v>91132.2662724333</v>
      </c>
      <c r="L90" s="52" t="n">
        <f aca="false">IF(INDEX(SAU_Status,MATCH("Conforto|"&amp;$B90,SAU_Key,0))="O",INDEX(SAU_PP,MATCH("Conforto|"&amp;$B90,SAU_Key,0))*INDEX(RelUni,MATCH($B90,Cov_Cod,0),4)*(1+sig_SAU)/(1-load_SAU)*(1+tax_SAU),IF(INDEX(SAU_Status,MATCH("Conforto|"&amp;$B90,SAU_Key,0))="B","Incluída","n.d."))</f>
        <v>103363.629042457</v>
      </c>
      <c r="M90" s="52" t="n">
        <f aca="false">IF(INDEX(SAU_Status,MATCH("Conforto|"&amp;$B90,SAU_Key,0))="O",INDEX(SAU_PP,MATCH("Conforto|"&amp;$B90,SAU_Key,0))*INDEX(RelUni,MATCH($B90,Cov_Cod,0),5)*(1+sig_SAU)/(1-load_SAU)*(1+tax_SAU),IF(INDEX(SAU_Status,MATCH("Conforto|"&amp;$B90,SAU_Key,0))="B","Incluída","n.d."))</f>
        <v>110254.537645288</v>
      </c>
      <c r="N90" s="52" t="str">
        <f aca="false">IF(INDEX(SAU_Status,MATCH("Premium|"&amp;$B90,SAU_Key,0))="O",INDEX(SAU_PP,MATCH("Premium|"&amp;$B90,SAU_Key,0))*INDEX(RelUni,MATCH($B90,Cov_Cod,0),1)*(1+sig_SAU)/(1-load_SAU)*(1+tax_SAU),IF(INDEX(SAU_Status,MATCH("Premium|"&amp;$B90,SAU_Key,0))="B","Incluída","n.d."))</f>
        <v>Incluída</v>
      </c>
      <c r="O90" s="52" t="str">
        <f aca="false">IF(INDEX(SAU_Status,MATCH("Premium|"&amp;$B90,SAU_Key,0))="O",INDEX(SAU_PP,MATCH("Premium|"&amp;$B90,SAU_Key,0))*INDEX(RelUni,MATCH($B90,Cov_Cod,0),2)*(1+sig_SAU)/(1-load_SAU)*(1+tax_SAU),IF(INDEX(SAU_Status,MATCH("Premium|"&amp;$B90,SAU_Key,0))="B","Incluída","n.d."))</f>
        <v>Incluída</v>
      </c>
      <c r="P90" s="52" t="str">
        <f aca="false">IF(INDEX(SAU_Status,MATCH("Premium|"&amp;$B90,SAU_Key,0))="O",INDEX(SAU_PP,MATCH("Premium|"&amp;$B90,SAU_Key,0))*INDEX(RelUni,MATCH($B90,Cov_Cod,0),3)*(1+sig_SAU)/(1-load_SAU)*(1+tax_SAU),IF(INDEX(SAU_Status,MATCH("Premium|"&amp;$B90,SAU_Key,0))="B","Incluída","n.d."))</f>
        <v>Incluída</v>
      </c>
      <c r="Q90" s="52" t="str">
        <f aca="false">IF(INDEX(SAU_Status,MATCH("Premium|"&amp;$B90,SAU_Key,0))="O",INDEX(SAU_PP,MATCH("Premium|"&amp;$B90,SAU_Key,0))*INDEX(RelUni,MATCH($B90,Cov_Cod,0),4)*(1+sig_SAU)/(1-load_SAU)*(1+tax_SAU),IF(INDEX(SAU_Status,MATCH("Premium|"&amp;$B90,SAU_Key,0))="B","Incluída","n.d."))</f>
        <v>Incluída</v>
      </c>
      <c r="R90" s="52" t="str">
        <f aca="false">IF(INDEX(SAU_Status,MATCH("Premium|"&amp;$B90,SAU_Key,0))="O",INDEX(SAU_PP,MATCH("Premium|"&amp;$B90,SAU_Key,0))*INDEX(RelUni,MATCH($B90,Cov_Cod,0),5)*(1+sig_SAU)/(1-load_SAU)*(1+tax_SAU),IF(INDEX(SAU_Status,MATCH("Premium|"&amp;$B90,SAU_Key,0))="B","Incluída","n.d."))</f>
        <v>Incluída</v>
      </c>
    </row>
    <row r="91" customFormat="false" ht="15" hidden="false" customHeight="false" outlineLevel="0" collapsed="false">
      <c r="B91" s="16" t="s">
        <v>192</v>
      </c>
      <c r="C91" s="32" t="str">
        <f aca="false">INDEX(Cov_Nome,MATCH(B91,Cov_Cod,0))</f>
        <v>Evacuação Médica e Cobertura no Estrangeiro</v>
      </c>
      <c r="D91" s="51" t="str">
        <f aca="false">IF(INDEX(SAU_Status,MATCH("Base|"&amp;$B91,SAU_Key,0))="O",INDEX(SAU_PP,MATCH("Base|"&amp;$B91,SAU_Key,0))*INDEX(RelUni,MATCH($B91,Cov_Cod,0),1)*(1+sig_SAU)/(1-load_SAU)*(1+tax_SAU),IF(INDEX(SAU_Status,MATCH("Base|"&amp;$B91,SAU_Key,0))="B","Incluída","n.d."))</f>
        <v>n.d.</v>
      </c>
      <c r="E91" s="51" t="str">
        <f aca="false">IF(INDEX(SAU_Status,MATCH("Base|"&amp;$B91,SAU_Key,0))="O",INDEX(SAU_PP,MATCH("Base|"&amp;$B91,SAU_Key,0))*INDEX(RelUni,MATCH($B91,Cov_Cod,0),2)*(1+sig_SAU)/(1-load_SAU)*(1+tax_SAU),IF(INDEX(SAU_Status,MATCH("Base|"&amp;$B91,SAU_Key,0))="B","Incluída","n.d."))</f>
        <v>n.d.</v>
      </c>
      <c r="F91" s="51" t="str">
        <f aca="false">IF(INDEX(SAU_Status,MATCH("Base|"&amp;$B91,SAU_Key,0))="O",INDEX(SAU_PP,MATCH("Base|"&amp;$B91,SAU_Key,0))*INDEX(RelUni,MATCH($B91,Cov_Cod,0),3)*(1+sig_SAU)/(1-load_SAU)*(1+tax_SAU),IF(INDEX(SAU_Status,MATCH("Base|"&amp;$B91,SAU_Key,0))="B","Incluída","n.d."))</f>
        <v>n.d.</v>
      </c>
      <c r="G91" s="51" t="str">
        <f aca="false">IF(INDEX(SAU_Status,MATCH("Base|"&amp;$B91,SAU_Key,0))="O",INDEX(SAU_PP,MATCH("Base|"&amp;$B91,SAU_Key,0))*INDEX(RelUni,MATCH($B91,Cov_Cod,0),4)*(1+sig_SAU)/(1-load_SAU)*(1+tax_SAU),IF(INDEX(SAU_Status,MATCH("Base|"&amp;$B91,SAU_Key,0))="B","Incluída","n.d."))</f>
        <v>n.d.</v>
      </c>
      <c r="H91" s="51" t="str">
        <f aca="false">IF(INDEX(SAU_Status,MATCH("Base|"&amp;$B91,SAU_Key,0))="O",INDEX(SAU_PP,MATCH("Base|"&amp;$B91,SAU_Key,0))*INDEX(RelUni,MATCH($B91,Cov_Cod,0),5)*(1+sig_SAU)/(1-load_SAU)*(1+tax_SAU),IF(INDEX(SAU_Status,MATCH("Base|"&amp;$B91,SAU_Key,0))="B","Incluída","n.d."))</f>
        <v>n.d.</v>
      </c>
      <c r="I91" s="51" t="n">
        <f aca="false">IF(INDEX(SAU_Status,MATCH("Conforto|"&amp;$B91,SAU_Key,0))="O",INDEX(SAU_PP,MATCH("Conforto|"&amp;$B91,SAU_Key,0))*INDEX(RelUni,MATCH($B91,Cov_Cod,0),1)*(1+sig_SAU)/(1-load_SAU)*(1+tax_SAU),IF(INDEX(SAU_Status,MATCH("Conforto|"&amp;$B91,SAU_Key,0))="B","Incluída","n.d."))</f>
        <v>20708.9561588152</v>
      </c>
      <c r="J91" s="51" t="n">
        <f aca="false">IF(INDEX(SAU_Status,MATCH("Conforto|"&amp;$B91,SAU_Key,0))="O",INDEX(SAU_PP,MATCH("Conforto|"&amp;$B91,SAU_Key,0))*INDEX(RelUni,MATCH($B91,Cov_Cod,0),2)*(1+sig_SAU)/(1-load_SAU)*(1+tax_SAU),IF(INDEX(SAU_Status,MATCH("Conforto|"&amp;$B91,SAU_Key,0))="B","Incluída","n.d."))</f>
        <v>36162.2302621735</v>
      </c>
      <c r="K91" s="51" t="n">
        <f aca="false">IF(INDEX(SAU_Status,MATCH("Conforto|"&amp;$B91,SAU_Key,0))="O",INDEX(SAU_PP,MATCH("Conforto|"&amp;$B91,SAU_Key,0))*INDEX(RelUni,MATCH($B91,Cov_Cod,0),3)*(1+sig_SAU)/(1-load_SAU)*(1+tax_SAU),IF(INDEX(SAU_Status,MATCH("Conforto|"&amp;$B91,SAU_Key,0))="B","Incluída","n.d."))</f>
        <v>55223.8830901738</v>
      </c>
      <c r="L91" s="51" t="n">
        <f aca="false">IF(INDEX(SAU_Status,MATCH("Conforto|"&amp;$B91,SAU_Key,0))="O",INDEX(SAU_PP,MATCH("Conforto|"&amp;$B91,SAU_Key,0))*INDEX(RelUni,MATCH($B91,Cov_Cod,0),4)*(1+sig_SAU)/(1-load_SAU)*(1+tax_SAU),IF(INDEX(SAU_Status,MATCH("Conforto|"&amp;$B91,SAU_Key,0))="B","Incluída","n.d."))</f>
        <v>93573.8019027946</v>
      </c>
      <c r="M91" s="51" t="n">
        <f aca="false">IF(INDEX(SAU_Status,MATCH("Conforto|"&amp;$B91,SAU_Key,0))="O",INDEX(SAU_PP,MATCH("Conforto|"&amp;$B91,SAU_Key,0))*INDEX(RelUni,MATCH($B91,Cov_Cod,0),5)*(1+sig_SAU)/(1-load_SAU)*(1+tax_SAU),IF(INDEX(SAU_Status,MATCH("Conforto|"&amp;$B91,SAU_Key,0))="B","Incluída","n.d."))</f>
        <v>134811.244014248</v>
      </c>
      <c r="N91" s="51" t="str">
        <f aca="false">IF(INDEX(SAU_Status,MATCH("Premium|"&amp;$B91,SAU_Key,0))="O",INDEX(SAU_PP,MATCH("Premium|"&amp;$B91,SAU_Key,0))*INDEX(RelUni,MATCH($B91,Cov_Cod,0),1)*(1+sig_SAU)/(1-load_SAU)*(1+tax_SAU),IF(INDEX(SAU_Status,MATCH("Premium|"&amp;$B91,SAU_Key,0))="B","Incluída","n.d."))</f>
        <v>Incluída</v>
      </c>
      <c r="O91" s="51" t="str">
        <f aca="false">IF(INDEX(SAU_Status,MATCH("Premium|"&amp;$B91,SAU_Key,0))="O",INDEX(SAU_PP,MATCH("Premium|"&amp;$B91,SAU_Key,0))*INDEX(RelUni,MATCH($B91,Cov_Cod,0),2)*(1+sig_SAU)/(1-load_SAU)*(1+tax_SAU),IF(INDEX(SAU_Status,MATCH("Premium|"&amp;$B91,SAU_Key,0))="B","Incluída","n.d."))</f>
        <v>Incluída</v>
      </c>
      <c r="P91" s="51" t="str">
        <f aca="false">IF(INDEX(SAU_Status,MATCH("Premium|"&amp;$B91,SAU_Key,0))="O",INDEX(SAU_PP,MATCH("Premium|"&amp;$B91,SAU_Key,0))*INDEX(RelUni,MATCH($B91,Cov_Cod,0),3)*(1+sig_SAU)/(1-load_SAU)*(1+tax_SAU),IF(INDEX(SAU_Status,MATCH("Premium|"&amp;$B91,SAU_Key,0))="B","Incluída","n.d."))</f>
        <v>Incluída</v>
      </c>
      <c r="Q91" s="51" t="str">
        <f aca="false">IF(INDEX(SAU_Status,MATCH("Premium|"&amp;$B91,SAU_Key,0))="O",INDEX(SAU_PP,MATCH("Premium|"&amp;$B91,SAU_Key,0))*INDEX(RelUni,MATCH($B91,Cov_Cod,0),4)*(1+sig_SAU)/(1-load_SAU)*(1+tax_SAU),IF(INDEX(SAU_Status,MATCH("Premium|"&amp;$B91,SAU_Key,0))="B","Incluída","n.d."))</f>
        <v>Incluída</v>
      </c>
      <c r="R91" s="51" t="str">
        <f aca="false">IF(INDEX(SAU_Status,MATCH("Premium|"&amp;$B91,SAU_Key,0))="O",INDEX(SAU_PP,MATCH("Premium|"&amp;$B91,SAU_Key,0))*INDEX(RelUni,MATCH($B91,Cov_Cod,0),5)*(1+sig_SAU)/(1-load_SAU)*(1+tax_SAU),IF(INDEX(SAU_Status,MATCH("Premium|"&amp;$B91,SAU_Key,0))="B","Incluída","n.d."))</f>
        <v>Incluída</v>
      </c>
    </row>
    <row r="92" customFormat="false" ht="15" hidden="false" customHeight="false" outlineLevel="0" collapsed="false">
      <c r="B92" s="21" t="s">
        <v>196</v>
      </c>
      <c r="C92" s="38" t="str">
        <f aca="false">INDEX(Cov_Nome,MATCH(B92,Cov_Cod,0))</f>
        <v>Doenças Graves — Oncologia</v>
      </c>
      <c r="D92" s="52" t="n">
        <f aca="false">IF(INDEX(SAU_Status,MATCH("Base|"&amp;$B92,SAU_Key,0))="O",INDEX(SAU_PP,MATCH("Base|"&amp;$B92,SAU_Key,0))*INDEX(RelUni,MATCH($B92,Cov_Cod,0),1)*(1+sig_SAU)/(1-load_SAU)*(1+tax_SAU),IF(INDEX(SAU_Status,MATCH("Base|"&amp;$B92,SAU_Key,0))="B","Incluída","n.d."))</f>
        <v>3813.52467074087</v>
      </c>
      <c r="E92" s="52" t="n">
        <f aca="false">IF(INDEX(SAU_Status,MATCH("Base|"&amp;$B92,SAU_Key,0))="O",INDEX(SAU_PP,MATCH("Base|"&amp;$B92,SAU_Key,0))*INDEX(RelUni,MATCH($B92,Cov_Cod,0),2)*(1+sig_SAU)/(1-load_SAU)*(1+tax_SAU),IF(INDEX(SAU_Status,MATCH("Base|"&amp;$B92,SAU_Key,0))="B","Incluída","n.d."))</f>
        <v>9811.15892563332</v>
      </c>
      <c r="F92" s="52" t="n">
        <f aca="false">IF(INDEX(SAU_Status,MATCH("Base|"&amp;$B92,SAU_Key,0))="O",INDEX(SAU_PP,MATCH("Base|"&amp;$B92,SAU_Key,0))*INDEX(RelUni,MATCH($B92,Cov_Cod,0),3)*(1+sig_SAU)/(1-load_SAU)*(1+tax_SAU),IF(INDEX(SAU_Status,MATCH("Base|"&amp;$B92,SAU_Key,0))="B","Incluída","n.d."))</f>
        <v>28868.3817575084</v>
      </c>
      <c r="G92" s="52" t="n">
        <f aca="false">IF(INDEX(SAU_Status,MATCH("Base|"&amp;$B92,SAU_Key,0))="O",INDEX(SAU_PP,MATCH("Base|"&amp;$B92,SAU_Key,0))*INDEX(RelUni,MATCH($B92,Cov_Cod,0),4)*(1+sig_SAU)/(1-load_SAU)*(1+tax_SAU),IF(INDEX(SAU_Status,MATCH("Base|"&amp;$B92,SAU_Key,0))="B","Incluída","n.d."))</f>
        <v>65253.6443660104</v>
      </c>
      <c r="H92" s="52" t="n">
        <f aca="false">IF(INDEX(SAU_Status,MATCH("Base|"&amp;$B92,SAU_Key,0))="O",INDEX(SAU_PP,MATCH("Base|"&amp;$B92,SAU_Key,0))*INDEX(RelUni,MATCH($B92,Cov_Cod,0),5)*(1+sig_SAU)/(1-load_SAU)*(1+tax_SAU),IF(INDEX(SAU_Status,MATCH("Base|"&amp;$B92,SAU_Key,0))="B","Incluída","n.d."))</f>
        <v>96011.0917104171</v>
      </c>
      <c r="I92" s="52" t="n">
        <f aca="false">IF(INDEX(SAU_Status,MATCH("Conforto|"&amp;$B92,SAU_Key,0))="O",INDEX(SAU_PP,MATCH("Conforto|"&amp;$B92,SAU_Key,0))*INDEX(RelUni,MATCH($B92,Cov_Cod,0),1)*(1+sig_SAU)/(1-load_SAU)*(1+tax_SAU),IF(INDEX(SAU_Status,MATCH("Conforto|"&amp;$B92,SAU_Key,0))="B","Incluída","n.d."))</f>
        <v>6043.59279522744</v>
      </c>
      <c r="J92" s="52" t="n">
        <f aca="false">IF(INDEX(SAU_Status,MATCH("Conforto|"&amp;$B92,SAU_Key,0))="O",INDEX(SAU_PP,MATCH("Conforto|"&amp;$B92,SAU_Key,0))*INDEX(RelUni,MATCH($B92,Cov_Cod,0),2)*(1+sig_SAU)/(1-load_SAU)*(1+tax_SAU),IF(INDEX(SAU_Status,MATCH("Conforto|"&amp;$B92,SAU_Key,0))="B","Incluída","n.d."))</f>
        <v>15548.5160095397</v>
      </c>
      <c r="K92" s="52" t="n">
        <f aca="false">IF(INDEX(SAU_Status,MATCH("Conforto|"&amp;$B92,SAU_Key,0))="O",INDEX(SAU_PP,MATCH("Conforto|"&amp;$B92,SAU_Key,0))*INDEX(RelUni,MATCH($B92,Cov_Cod,0),3)*(1+sig_SAU)/(1-load_SAU)*(1+tax_SAU),IF(INDEX(SAU_Status,MATCH("Conforto|"&amp;$B92,SAU_Key,0))="B","Incluída","n.d."))</f>
        <v>45749.9974598717</v>
      </c>
      <c r="L92" s="52" t="n">
        <f aca="false">IF(INDEX(SAU_Status,MATCH("Conforto|"&amp;$B92,SAU_Key,0))="O",INDEX(SAU_PP,MATCH("Conforto|"&amp;$B92,SAU_Key,0))*INDEX(RelUni,MATCH($B92,Cov_Cod,0),4)*(1+sig_SAU)/(1-load_SAU)*(1+tax_SAU),IF(INDEX(SAU_Status,MATCH("Conforto|"&amp;$B92,SAU_Key,0))="B","Incluída","n.d."))</f>
        <v>103412.587829447</v>
      </c>
      <c r="M92" s="52" t="n">
        <f aca="false">IF(INDEX(SAU_Status,MATCH("Conforto|"&amp;$B92,SAU_Key,0))="O",INDEX(SAU_PP,MATCH("Conforto|"&amp;$B92,SAU_Key,0))*INDEX(RelUni,MATCH($B92,Cov_Cod,0),5)*(1+sig_SAU)/(1-load_SAU)*(1+tax_SAU),IF(INDEX(SAU_Status,MATCH("Conforto|"&amp;$B92,SAU_Key,0))="B","Incluída","n.d."))</f>
        <v>152156.336256314</v>
      </c>
      <c r="N92" s="52" t="str">
        <f aca="false">IF(INDEX(SAU_Status,MATCH("Premium|"&amp;$B92,SAU_Key,0))="O",INDEX(SAU_PP,MATCH("Premium|"&amp;$B92,SAU_Key,0))*INDEX(RelUni,MATCH($B92,Cov_Cod,0),1)*(1+sig_SAU)/(1-load_SAU)*(1+tax_SAU),IF(INDEX(SAU_Status,MATCH("Premium|"&amp;$B92,SAU_Key,0))="B","Incluída","n.d."))</f>
        <v>Incluída</v>
      </c>
      <c r="O92" s="52" t="str">
        <f aca="false">IF(INDEX(SAU_Status,MATCH("Premium|"&amp;$B92,SAU_Key,0))="O",INDEX(SAU_PP,MATCH("Premium|"&amp;$B92,SAU_Key,0))*INDEX(RelUni,MATCH($B92,Cov_Cod,0),2)*(1+sig_SAU)/(1-load_SAU)*(1+tax_SAU),IF(INDEX(SAU_Status,MATCH("Premium|"&amp;$B92,SAU_Key,0))="B","Incluída","n.d."))</f>
        <v>Incluída</v>
      </c>
      <c r="P92" s="52" t="str">
        <f aca="false">IF(INDEX(SAU_Status,MATCH("Premium|"&amp;$B92,SAU_Key,0))="O",INDEX(SAU_PP,MATCH("Premium|"&amp;$B92,SAU_Key,0))*INDEX(RelUni,MATCH($B92,Cov_Cod,0),3)*(1+sig_SAU)/(1-load_SAU)*(1+tax_SAU),IF(INDEX(SAU_Status,MATCH("Premium|"&amp;$B92,SAU_Key,0))="B","Incluída","n.d."))</f>
        <v>Incluída</v>
      </c>
      <c r="Q92" s="52" t="str">
        <f aca="false">IF(INDEX(SAU_Status,MATCH("Premium|"&amp;$B92,SAU_Key,0))="O",INDEX(SAU_PP,MATCH("Premium|"&amp;$B92,SAU_Key,0))*INDEX(RelUni,MATCH($B92,Cov_Cod,0),4)*(1+sig_SAU)/(1-load_SAU)*(1+tax_SAU),IF(INDEX(SAU_Status,MATCH("Premium|"&amp;$B92,SAU_Key,0))="B","Incluída","n.d."))</f>
        <v>Incluída</v>
      </c>
      <c r="R92" s="52" t="str">
        <f aca="false">IF(INDEX(SAU_Status,MATCH("Premium|"&amp;$B92,SAU_Key,0))="O",INDEX(SAU_PP,MATCH("Premium|"&amp;$B92,SAU_Key,0))*INDEX(RelUni,MATCH($B92,Cov_Cod,0),5)*(1+sig_SAU)/(1-load_SAU)*(1+tax_SAU),IF(INDEX(SAU_Status,MATCH("Premium|"&amp;$B92,SAU_Key,0))="B","Incluída","n.d."))</f>
        <v>Incluída</v>
      </c>
    </row>
    <row r="93" customFormat="false" ht="15" hidden="false" customHeight="false" outlineLevel="0" collapsed="false">
      <c r="B93" s="16" t="s">
        <v>200</v>
      </c>
      <c r="C93" s="32" t="str">
        <f aca="false">INDEX(Cov_Nome,MATCH(B93,Cov_Cod,0))</f>
        <v>Doenças Crónicas — Hemodiálise</v>
      </c>
      <c r="D93" s="51" t="n">
        <f aca="false">IF(INDEX(SAU_Status,MATCH("Base|"&amp;$B93,SAU_Key,0))="O",INDEX(SAU_PP,MATCH("Base|"&amp;$B93,SAU_Key,0))*INDEX(RelUni,MATCH($B93,Cov_Cod,0),1)*(1+sig_SAU)/(1-load_SAU)*(1+tax_SAU),IF(INDEX(SAU_Status,MATCH("Base|"&amp;$B93,SAU_Key,0))="B","Incluída","n.d."))</f>
        <v>467.109747189381</v>
      </c>
      <c r="E93" s="51" t="n">
        <f aca="false">IF(INDEX(SAU_Status,MATCH("Base|"&amp;$B93,SAU_Key,0))="O",INDEX(SAU_PP,MATCH("Base|"&amp;$B93,SAU_Key,0))*INDEX(RelUni,MATCH($B93,Cov_Cod,0),2)*(1+sig_SAU)/(1-load_SAU)*(1+tax_SAU),IF(INDEX(SAU_Status,MATCH("Base|"&amp;$B93,SAU_Key,0))="B","Incluída","n.d."))</f>
        <v>2224.07936445853</v>
      </c>
      <c r="F93" s="51" t="n">
        <f aca="false">IF(INDEX(SAU_Status,MATCH("Base|"&amp;$B93,SAU_Key,0))="O",INDEX(SAU_PP,MATCH("Base|"&amp;$B93,SAU_Key,0))*INDEX(RelUni,MATCH($B93,Cov_Cod,0),3)*(1+sig_SAU)/(1-load_SAU)*(1+tax_SAU),IF(INDEX(SAU_Status,MATCH("Base|"&amp;$B93,SAU_Key,0))="B","Incluída","n.d."))</f>
        <v>5523.57276051443</v>
      </c>
      <c r="G93" s="51" t="n">
        <f aca="false">IF(INDEX(SAU_Status,MATCH("Base|"&amp;$B93,SAU_Key,0))="O",INDEX(SAU_PP,MATCH("Base|"&amp;$B93,SAU_Key,0))*INDEX(RelUni,MATCH($B93,Cov_Cod,0),4)*(1+sig_SAU)/(1-load_SAU)*(1+tax_SAU),IF(INDEX(SAU_Status,MATCH("Base|"&amp;$B93,SAU_Key,0))="B","Incluída","n.d."))</f>
        <v>12118.9028854134</v>
      </c>
      <c r="H93" s="51" t="n">
        <f aca="false">IF(INDEX(SAU_Status,MATCH("Base|"&amp;$B93,SAU_Key,0))="O",INDEX(SAU_PP,MATCH("Base|"&amp;$B93,SAU_Key,0))*INDEX(RelUni,MATCH($B93,Cov_Cod,0),5)*(1+sig_SAU)/(1-load_SAU)*(1+tax_SAU),IF(INDEX(SAU_Status,MATCH("Base|"&amp;$B93,SAU_Key,0))="B","Incluída","n.d."))</f>
        <v>16417.5337615091</v>
      </c>
      <c r="I93" s="51" t="n">
        <f aca="false">IF(INDEX(SAU_Status,MATCH("Conforto|"&amp;$B93,SAU_Key,0))="O",INDEX(SAU_PP,MATCH("Conforto|"&amp;$B93,SAU_Key,0))*INDEX(RelUni,MATCH($B93,Cov_Cod,0),1)*(1+sig_SAU)/(1-load_SAU)*(1+tax_SAU),IF(INDEX(SAU_Status,MATCH("Conforto|"&amp;$B93,SAU_Key,0))="B","Incluída","n.d."))</f>
        <v>892.277728664456</v>
      </c>
      <c r="J93" s="51" t="n">
        <f aca="false">IF(INDEX(SAU_Status,MATCH("Conforto|"&amp;$B93,SAU_Key,0))="O",INDEX(SAU_PP,MATCH("Conforto|"&amp;$B93,SAU_Key,0))*INDEX(RelUni,MATCH($B93,Cov_Cod,0),2)*(1+sig_SAU)/(1-load_SAU)*(1+tax_SAU),IF(INDEX(SAU_Status,MATCH("Conforto|"&amp;$B93,SAU_Key,0))="B","Incluída","n.d."))</f>
        <v>4248.45873080008</v>
      </c>
      <c r="K93" s="51" t="n">
        <f aca="false">IF(INDEX(SAU_Status,MATCH("Conforto|"&amp;$B93,SAU_Key,0))="O",INDEX(SAU_PP,MATCH("Conforto|"&amp;$B93,SAU_Key,0))*INDEX(RelUni,MATCH($B93,Cov_Cod,0),3)*(1+sig_SAU)/(1-load_SAU)*(1+tax_SAU),IF(INDEX(SAU_Status,MATCH("Conforto|"&amp;$B93,SAU_Key,0))="B","Incluída","n.d."))</f>
        <v>10551.1841414572</v>
      </c>
      <c r="L93" s="51" t="n">
        <f aca="false">IF(INDEX(SAU_Status,MATCH("Conforto|"&amp;$B93,SAU_Key,0))="O",INDEX(SAU_PP,MATCH("Conforto|"&amp;$B93,SAU_Key,0))*INDEX(RelUni,MATCH($B93,Cov_Cod,0),4)*(1+sig_SAU)/(1-load_SAU)*(1+tax_SAU),IF(INDEX(SAU_Status,MATCH("Conforto|"&amp;$B93,SAU_Key,0))="B","Incluída","n.d."))</f>
        <v>23149.6499603501</v>
      </c>
      <c r="M93" s="51" t="n">
        <f aca="false">IF(INDEX(SAU_Status,MATCH("Conforto|"&amp;$B93,SAU_Key,0))="O",INDEX(SAU_PP,MATCH("Conforto|"&amp;$B93,SAU_Key,0))*INDEX(RelUni,MATCH($B93,Cov_Cod,0),5)*(1+sig_SAU)/(1-load_SAU)*(1+tax_SAU),IF(INDEX(SAU_Status,MATCH("Conforto|"&amp;$B93,SAU_Key,0))="B","Incluída","n.d."))</f>
        <v>31360.9378162949</v>
      </c>
      <c r="N93" s="51" t="str">
        <f aca="false">IF(INDEX(SAU_Status,MATCH("Premium|"&amp;$B93,SAU_Key,0))="O",INDEX(SAU_PP,MATCH("Premium|"&amp;$B93,SAU_Key,0))*INDEX(RelUni,MATCH($B93,Cov_Cod,0),1)*(1+sig_SAU)/(1-load_SAU)*(1+tax_SAU),IF(INDEX(SAU_Status,MATCH("Premium|"&amp;$B93,SAU_Key,0))="B","Incluída","n.d."))</f>
        <v>Incluída</v>
      </c>
      <c r="O93" s="51" t="str">
        <f aca="false">IF(INDEX(SAU_Status,MATCH("Premium|"&amp;$B93,SAU_Key,0))="O",INDEX(SAU_PP,MATCH("Premium|"&amp;$B93,SAU_Key,0))*INDEX(RelUni,MATCH($B93,Cov_Cod,0),2)*(1+sig_SAU)/(1-load_SAU)*(1+tax_SAU),IF(INDEX(SAU_Status,MATCH("Premium|"&amp;$B93,SAU_Key,0))="B","Incluída","n.d."))</f>
        <v>Incluída</v>
      </c>
      <c r="P93" s="51" t="str">
        <f aca="false">IF(INDEX(SAU_Status,MATCH("Premium|"&amp;$B93,SAU_Key,0))="O",INDEX(SAU_PP,MATCH("Premium|"&amp;$B93,SAU_Key,0))*INDEX(RelUni,MATCH($B93,Cov_Cod,0),3)*(1+sig_SAU)/(1-load_SAU)*(1+tax_SAU),IF(INDEX(SAU_Status,MATCH("Premium|"&amp;$B93,SAU_Key,0))="B","Incluída","n.d."))</f>
        <v>Incluída</v>
      </c>
      <c r="Q93" s="51" t="str">
        <f aca="false">IF(INDEX(SAU_Status,MATCH("Premium|"&amp;$B93,SAU_Key,0))="O",INDEX(SAU_PP,MATCH("Premium|"&amp;$B93,SAU_Key,0))*INDEX(RelUni,MATCH($B93,Cov_Cod,0),4)*(1+sig_SAU)/(1-load_SAU)*(1+tax_SAU),IF(INDEX(SAU_Status,MATCH("Premium|"&amp;$B93,SAU_Key,0))="B","Incluída","n.d."))</f>
        <v>Incluída</v>
      </c>
      <c r="R93" s="51" t="str">
        <f aca="false">IF(INDEX(SAU_Status,MATCH("Premium|"&amp;$B93,SAU_Key,0))="O",INDEX(SAU_PP,MATCH("Premium|"&amp;$B93,SAU_Key,0))*INDEX(RelUni,MATCH($B93,Cov_Cod,0),5)*(1+sig_SAU)/(1-load_SAU)*(1+tax_SAU),IF(INDEX(SAU_Status,MATCH("Premium|"&amp;$B93,SAU_Key,0))="B","Incluída","n.d."))</f>
        <v>Incluída</v>
      </c>
    </row>
    <row r="95" customFormat="false" ht="15" hidden="false" customHeight="false" outlineLevel="0" collapsed="false">
      <c r="B95" s="3" t="s">
        <v>324</v>
      </c>
    </row>
  </sheetData>
  <autoFilter ref="A5:AB56"/>
  <mergeCells count="5">
    <mergeCell ref="A1:AB1"/>
    <mergeCell ref="A2:AB2"/>
    <mergeCell ref="D75:H75"/>
    <mergeCell ref="I75:M75"/>
    <mergeCell ref="N75:R75"/>
  </mergeCells>
  <dataValidations count="1">
    <dataValidation allowBlank="true" error="Valor inválido" errorStyle="stop" operator="between" showDropDown="false" showErrorMessage="true" showInputMessage="false" sqref="F6:F56" type="list">
      <formula1>Listas!$F$2:$F$4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28" min="6" style="0" width="14"/>
  </cols>
  <sheetData>
    <row r="1" customFormat="false" ht="25.5" hidden="false" customHeight="true" outlineLevel="0" collapsed="false">
      <c r="A1" s="1" t="s">
        <v>325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30" hidden="false" customHeight="true" outlineLevel="0" collapsed="false">
      <c r="A2" s="2" t="s">
        <v>326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5" hidden="false" customHeight="false" outlineLevel="0" collapsed="false">
      <c r="A3" s="42" t="s">
        <v>265</v>
      </c>
      <c r="B3" s="43" t="s">
        <v>266</v>
      </c>
      <c r="C3" s="8" t="n">
        <f aca="false">sig_SAG</f>
        <v>0.05</v>
      </c>
      <c r="D3" s="43" t="s">
        <v>267</v>
      </c>
      <c r="E3" s="8" t="n">
        <f aca="false">load_SAG</f>
        <v>0.21</v>
      </c>
      <c r="F3" s="43" t="s">
        <v>268</v>
      </c>
      <c r="G3" s="8" t="n">
        <f aca="false">tax_SAG</f>
        <v>0.01</v>
      </c>
      <c r="H3" s="43" t="s">
        <v>269</v>
      </c>
      <c r="I3" s="15" t="n">
        <f aca="false">f_trend</f>
        <v>1.182194</v>
      </c>
    </row>
    <row r="4" customFormat="false" ht="15" hidden="false" customHeight="false" outlineLevel="0" collapsed="false">
      <c r="A4" s="3" t="s">
        <v>270</v>
      </c>
    </row>
    <row r="5" customFormat="false" ht="48" hidden="false" customHeight="true" outlineLevel="0" collapsed="false">
      <c r="A5" s="6" t="s">
        <v>271</v>
      </c>
      <c r="B5" s="6" t="s">
        <v>272</v>
      </c>
      <c r="C5" s="6" t="s">
        <v>45</v>
      </c>
      <c r="D5" s="6" t="s">
        <v>118</v>
      </c>
      <c r="E5" s="6" t="s">
        <v>119</v>
      </c>
      <c r="F5" s="6" t="s">
        <v>273</v>
      </c>
      <c r="G5" s="6" t="s">
        <v>274</v>
      </c>
      <c r="H5" s="6" t="s">
        <v>275</v>
      </c>
      <c r="I5" s="6" t="s">
        <v>127</v>
      </c>
      <c r="J5" s="6" t="s">
        <v>276</v>
      </c>
      <c r="K5" s="6" t="s">
        <v>277</v>
      </c>
      <c r="L5" s="6" t="s">
        <v>278</v>
      </c>
      <c r="M5" s="6" t="s">
        <v>279</v>
      </c>
      <c r="N5" s="6" t="s">
        <v>280</v>
      </c>
      <c r="O5" s="6" t="s">
        <v>281</v>
      </c>
      <c r="P5" s="6" t="s">
        <v>282</v>
      </c>
      <c r="Q5" s="6" t="s">
        <v>283</v>
      </c>
      <c r="R5" s="6" t="s">
        <v>284</v>
      </c>
      <c r="S5" s="6" t="s">
        <v>285</v>
      </c>
      <c r="T5" s="6" t="s">
        <v>286</v>
      </c>
      <c r="U5" s="6" t="s">
        <v>287</v>
      </c>
      <c r="V5" s="6" t="s">
        <v>288</v>
      </c>
      <c r="W5" s="6" t="s">
        <v>289</v>
      </c>
      <c r="X5" s="6" t="s">
        <v>290</v>
      </c>
      <c r="Y5" s="6" t="s">
        <v>291</v>
      </c>
      <c r="Z5" s="6" t="s">
        <v>292</v>
      </c>
      <c r="AA5" s="6" t="s">
        <v>293</v>
      </c>
      <c r="AB5" s="6" t="s">
        <v>294</v>
      </c>
    </row>
    <row r="6" customFormat="false" ht="15" hidden="false" customHeight="false" outlineLevel="0" collapsed="false">
      <c r="A6" s="32" t="str">
        <f aca="false">B6&amp;"|"&amp;C6</f>
        <v>Colaboradores|HOSP_INT</v>
      </c>
      <c r="B6" s="16" t="s">
        <v>327</v>
      </c>
      <c r="C6" s="7" t="s">
        <v>132</v>
      </c>
      <c r="D6" s="32" t="str">
        <f aca="false">INDEX(Cov_Nome,MATCH(C6,Cov_Cod,0))</f>
        <v>Internamento Hospitalar Médico (incl. malária grave)</v>
      </c>
      <c r="E6" s="32" t="str">
        <f aca="false">INDEX(Cov_Grupo,MATCH(C6,Cov_Cod,0))</f>
        <v>Principal</v>
      </c>
      <c r="F6" s="37" t="s">
        <v>296</v>
      </c>
      <c r="G6" s="35" t="n">
        <v>10000000</v>
      </c>
      <c r="H6" s="40" t="n">
        <f aca="false">INDEX(Cov_Lambda,MATCH(C6,Cov_Cod,0))</f>
        <v>0.045</v>
      </c>
      <c r="I6" s="18" t="n">
        <f aca="false">INDEX(Cov_Mu,MATCH(C6,Cov_Cod,0))</f>
        <v>854500</v>
      </c>
      <c r="J6" s="40" t="n">
        <f aca="false">IF(INDEX(Cov_FR,MATCH(C6,Cov_Cod,0))="S",INDEX(PF_Factor,MATCH("SAG|"&amp;B6,PF_Key,0)),1)</f>
        <v>0.9</v>
      </c>
      <c r="K6" s="18" t="n">
        <f aca="false">IF(C6="HOSP_INT",los_int,IF(C6="HOSP_CIR",los_cir,0))*MAX(0,room_ref*J6-INDEX(PF_Room,MATCH("SAG|"&amp;B6,PF_Key,0)))</f>
        <v>96000</v>
      </c>
      <c r="L6" s="18" t="n">
        <f aca="false">MAX(0,I6*J6-K6)</f>
        <v>673050</v>
      </c>
      <c r="M6" s="40" t="n">
        <f aca="false">f_trend</f>
        <v>1.182194</v>
      </c>
      <c r="N6" s="18" t="n">
        <f aca="false">H6*L6*M6/(1-EXP(-H6))</f>
        <v>813712.640051447</v>
      </c>
      <c r="O6" s="44" t="n">
        <f aca="false">INDEX(Cov_CV,MATCH(C6,Cov_Cod,0))</f>
        <v>1.5</v>
      </c>
      <c r="P6" s="40" t="n">
        <f aca="false">SQRT(LN(1+O6^2))</f>
        <v>1.08565878449062</v>
      </c>
      <c r="Q6" s="40" t="n">
        <f aca="false">LN(N6)-P6^2/2</f>
        <v>13.0200350624371</v>
      </c>
      <c r="R6" s="40" t="n">
        <f aca="false">IF(G6&lt;=0,1,NORMSDIST((LN(G6)-Q6-P6^2)/P6)+G6/N6*(1-NORMSDIST((LN(G6)-Q6)/P6)))</f>
        <v>0.988026173666639</v>
      </c>
      <c r="S6" s="14" t="n">
        <f aca="false">IF(F6="—",0,H6*L6*M6*R6)</f>
        <v>35376.6775225223</v>
      </c>
      <c r="T6" s="18" t="n">
        <f aca="false">S6*sig_SAG</f>
        <v>1768.83387612611</v>
      </c>
      <c r="U6" s="14" t="n">
        <f aca="false">S6+T6</f>
        <v>37145.5113986484</v>
      </c>
      <c r="V6" s="14" t="n">
        <f aca="false">U6/(1-load_SAG)</f>
        <v>47019.6346818334</v>
      </c>
      <c r="W6" s="18" t="n">
        <f aca="false">V6*ea_SAG</f>
        <v>4701.96346818334</v>
      </c>
      <c r="X6" s="18" t="n">
        <f aca="false">V6*ec_SAG</f>
        <v>3291.37442772834</v>
      </c>
      <c r="Y6" s="18" t="n">
        <f aca="false">V6*m_SAG</f>
        <v>1880.78538727334</v>
      </c>
      <c r="Z6" s="18" t="n">
        <f aca="false">V6*tax_SAG</f>
        <v>470.196346818334</v>
      </c>
      <c r="AA6" s="19" t="n">
        <f aca="false">V6+Z6</f>
        <v>47489.8310286517</v>
      </c>
      <c r="AB6" s="40" t="n">
        <f aca="false">IF(G6&gt;0,S6/G6*1000,"n.a.")</f>
        <v>3.53766775225223</v>
      </c>
    </row>
    <row r="7" customFormat="false" ht="15" hidden="false" customHeight="false" outlineLevel="0" collapsed="false">
      <c r="A7" s="32" t="str">
        <f aca="false">B7&amp;"|"&amp;C7</f>
        <v>Colaboradores|HOSP_CIR</v>
      </c>
      <c r="B7" s="16" t="s">
        <v>327</v>
      </c>
      <c r="C7" s="7" t="s">
        <v>139</v>
      </c>
      <c r="D7" s="32" t="str">
        <f aca="false">INDEX(Cov_Nome,MATCH(C7,Cov_Cod,0))</f>
        <v>Cirurgia (com internamento e de ambulatório)</v>
      </c>
      <c r="E7" s="32" t="str">
        <f aca="false">INDEX(Cov_Grupo,MATCH(C7,Cov_Cod,0))</f>
        <v>Principal</v>
      </c>
      <c r="F7" s="37" t="s">
        <v>296</v>
      </c>
      <c r="G7" s="35" t="n">
        <v>10000000</v>
      </c>
      <c r="H7" s="40" t="n">
        <f aca="false">INDEX(Cov_Lambda,MATCH(C7,Cov_Cod,0))</f>
        <v>0.024</v>
      </c>
      <c r="I7" s="18" t="n">
        <f aca="false">INDEX(Cov_Mu,MATCH(C7,Cov_Cod,0))</f>
        <v>2032500</v>
      </c>
      <c r="J7" s="40" t="n">
        <f aca="false">IF(INDEX(Cov_FR,MATCH(C7,Cov_Cod,0))="S",INDEX(PF_Factor,MATCH("SAG|"&amp;B7,PF_Key,0)),1)</f>
        <v>0.9</v>
      </c>
      <c r="K7" s="18" t="n">
        <f aca="false">IF(C7="HOSP_INT",los_int,IF(C7="HOSP_CIR",los_cir,0))*MAX(0,room_ref*J7-INDEX(PF_Room,MATCH("SAG|"&amp;B7,PF_Key,0)))</f>
        <v>60000</v>
      </c>
      <c r="L7" s="18" t="n">
        <f aca="false">MAX(0,I7*J7-K7)</f>
        <v>1769250</v>
      </c>
      <c r="M7" s="40" t="n">
        <f aca="false">f_trend</f>
        <v>1.182194</v>
      </c>
      <c r="N7" s="18" t="n">
        <f aca="false">H7*L7*M7/(1-EXP(-H7))</f>
        <v>2116796.29099346</v>
      </c>
      <c r="O7" s="44" t="n">
        <f aca="false">INDEX(Cov_CV,MATCH(C7,Cov_Cod,0))</f>
        <v>1.3</v>
      </c>
      <c r="P7" s="40" t="n">
        <f aca="false">SQRT(LN(1+O7^2))</f>
        <v>0.994756851503797</v>
      </c>
      <c r="Q7" s="40" t="n">
        <f aca="false">LN(N7)-P7^2/2</f>
        <v>14.0706437233582</v>
      </c>
      <c r="R7" s="40" t="n">
        <f aca="false">IF(G7&lt;=0,1,NORMSDIST((LN(G7)-Q7-P7^2)/P7)+G7/N7*(1-NORMSDIST((LN(G7)-Q7)/P7)))</f>
        <v>0.949678416922857</v>
      </c>
      <c r="S7" s="14" t="n">
        <f aca="false">IF(F7="—",0,H7*L7*M7*R7)</f>
        <v>47672.2626158635</v>
      </c>
      <c r="T7" s="18" t="n">
        <f aca="false">S7*sig_SAG</f>
        <v>2383.61313079317</v>
      </c>
      <c r="U7" s="14" t="n">
        <f aca="false">S7+T7</f>
        <v>50055.8757466566</v>
      </c>
      <c r="V7" s="14" t="n">
        <f aca="false">U7/(1-load_SAG)</f>
        <v>63361.8680337426</v>
      </c>
      <c r="W7" s="18" t="n">
        <f aca="false">V7*ea_SAG</f>
        <v>6336.18680337426</v>
      </c>
      <c r="X7" s="18" t="n">
        <f aca="false">V7*ec_SAG</f>
        <v>4435.33076236198</v>
      </c>
      <c r="Y7" s="18" t="n">
        <f aca="false">V7*m_SAG</f>
        <v>2534.4747213497</v>
      </c>
      <c r="Z7" s="18" t="n">
        <f aca="false">V7*tax_SAG</f>
        <v>633.618680337426</v>
      </c>
      <c r="AA7" s="19" t="n">
        <f aca="false">V7+Z7</f>
        <v>63995.48671408</v>
      </c>
      <c r="AB7" s="40" t="n">
        <f aca="false">IF(G7&gt;0,S7/G7*1000,"n.a.")</f>
        <v>4.76722626158634</v>
      </c>
    </row>
    <row r="8" customFormat="false" ht="15" hidden="false" customHeight="false" outlineLevel="0" collapsed="false">
      <c r="A8" s="32" t="str">
        <f aca="false">B8&amp;"|"&amp;C8</f>
        <v>Colaboradores|HOSP_UCI</v>
      </c>
      <c r="B8" s="16" t="s">
        <v>327</v>
      </c>
      <c r="C8" s="7" t="s">
        <v>143</v>
      </c>
      <c r="D8" s="32" t="str">
        <f aca="false">INDEX(Cov_Nome,MATCH(C8,Cov_Cod,0))</f>
        <v>Cuidados Intensivos (UCI)</v>
      </c>
      <c r="E8" s="32" t="str">
        <f aca="false">INDEX(Cov_Grupo,MATCH(C8,Cov_Cod,0))</f>
        <v>Principal</v>
      </c>
      <c r="F8" s="37" t="s">
        <v>296</v>
      </c>
      <c r="G8" s="45" t="n">
        <f aca="false">INDEX(PF_UCI,MATCH("SAG|"&amp;B8,PF_Key,0))</f>
        <v>4000000</v>
      </c>
      <c r="H8" s="40" t="n">
        <f aca="false">INDEX(Cov_Lambda,MATCH(C8,Cov_Cod,0))</f>
        <v>0.0035</v>
      </c>
      <c r="I8" s="18" t="n">
        <f aca="false">INDEX(Cov_Mu,MATCH(C8,Cov_Cod,0))</f>
        <v>2835000</v>
      </c>
      <c r="J8" s="40" t="n">
        <f aca="false">IF(INDEX(Cov_FR,MATCH(C8,Cov_Cod,0))="S",INDEX(PF_Factor,MATCH("SAG|"&amp;B8,PF_Key,0)),1)</f>
        <v>0.9</v>
      </c>
      <c r="K8" s="18" t="n">
        <f aca="false">IF(C8="HOSP_INT",los_int,IF(C8="HOSP_CIR",los_cir,0))*MAX(0,room_ref*J8-INDEX(PF_Room,MATCH("SAG|"&amp;B8,PF_Key,0)))</f>
        <v>0</v>
      </c>
      <c r="L8" s="18" t="n">
        <f aca="false">MAX(0,I8*J8-K8)</f>
        <v>2551500</v>
      </c>
      <c r="M8" s="40" t="n">
        <f aca="false">f_trend</f>
        <v>1.182194</v>
      </c>
      <c r="N8" s="18" t="n">
        <f aca="false">H8*L8*M8/(1-EXP(-H8))</f>
        <v>3021649.71419259</v>
      </c>
      <c r="O8" s="44" t="n">
        <f aca="false">INDEX(Cov_CV,MATCH(C8,Cov_Cod,0))</f>
        <v>1.2</v>
      </c>
      <c r="P8" s="40" t="n">
        <f aca="false">SQRT(LN(1+O8^2))</f>
        <v>0.944456478248262</v>
      </c>
      <c r="Q8" s="40" t="n">
        <f aca="false">LN(N8)-P8^2/2</f>
        <v>14.4753144835289</v>
      </c>
      <c r="R8" s="40" t="n">
        <f aca="false">IF(G8&lt;=0,1,NORMSDIST((LN(G8)-Q8-P8^2)/P8)+G8/N8*(1-NORMSDIST((LN(G8)-Q8)/P8)))</f>
        <v>0.722845277070324</v>
      </c>
      <c r="S8" s="14" t="n">
        <f aca="false">IF(F8="—",0,H8*L8*M8*R8)</f>
        <v>7631.28574670158</v>
      </c>
      <c r="T8" s="18" t="n">
        <f aca="false">S8*sig_SAG</f>
        <v>381.564287335079</v>
      </c>
      <c r="U8" s="14" t="n">
        <f aca="false">S8+T8</f>
        <v>8012.85003403666</v>
      </c>
      <c r="V8" s="14" t="n">
        <f aca="false">U8/(1-load_SAG)</f>
        <v>10142.8481443502</v>
      </c>
      <c r="W8" s="18" t="n">
        <f aca="false">V8*ea_SAG</f>
        <v>1014.28481443502</v>
      </c>
      <c r="X8" s="18" t="n">
        <f aca="false">V8*ec_SAG</f>
        <v>709.999370104514</v>
      </c>
      <c r="Y8" s="18" t="n">
        <f aca="false">V8*m_SAG</f>
        <v>405.713925774008</v>
      </c>
      <c r="Z8" s="18" t="n">
        <f aca="false">V8*tax_SAG</f>
        <v>101.428481443502</v>
      </c>
      <c r="AA8" s="19" t="n">
        <f aca="false">V8+Z8</f>
        <v>10244.2766257937</v>
      </c>
      <c r="AB8" s="40" t="n">
        <f aca="false">IF(G8&gt;0,S8/G8*1000,"n.a.")</f>
        <v>1.90782143667539</v>
      </c>
    </row>
    <row r="9" customFormat="false" ht="15" hidden="false" customHeight="false" outlineLevel="0" collapsed="false">
      <c r="A9" s="32" t="str">
        <f aca="false">B9&amp;"|"&amp;C9</f>
        <v>Colaboradores|AMB_CONS</v>
      </c>
      <c r="B9" s="16" t="s">
        <v>327</v>
      </c>
      <c r="C9" s="7" t="s">
        <v>147</v>
      </c>
      <c r="D9" s="32" t="str">
        <f aca="false">INDEX(Cov_Nome,MATCH(C9,Cov_Cod,0))</f>
        <v>Consultas de Clínica Geral e Especialidade (incl. teleconsulta)</v>
      </c>
      <c r="E9" s="32" t="str">
        <f aca="false">INDEX(Cov_Grupo,MATCH(C9,Cov_Cod,0))</f>
        <v>Principal</v>
      </c>
      <c r="F9" s="37" t="s">
        <v>296</v>
      </c>
      <c r="G9" s="35" t="n">
        <v>2000000</v>
      </c>
      <c r="H9" s="40" t="n">
        <f aca="false">INDEX(Cov_Lambda,MATCH(C9,Cov_Cod,0))</f>
        <v>2.6</v>
      </c>
      <c r="I9" s="18" t="n">
        <f aca="false">INDEX(Cov_Mu,MATCH(C9,Cov_Cod,0))</f>
        <v>24000</v>
      </c>
      <c r="J9" s="40" t="n">
        <f aca="false">IF(INDEX(Cov_FR,MATCH(C9,Cov_Cod,0))="S",INDEX(PF_Factor,MATCH("SAG|"&amp;B9,PF_Key,0)),1)</f>
        <v>0.9</v>
      </c>
      <c r="K9" s="18" t="n">
        <f aca="false">IF(C9="HOSP_INT",los_int,IF(C9="HOSP_CIR",los_cir,0))*MAX(0,room_ref*J9-INDEX(PF_Room,MATCH("SAG|"&amp;B9,PF_Key,0)))</f>
        <v>0</v>
      </c>
      <c r="L9" s="18" t="n">
        <f aca="false">MAX(0,I9*J9-K9)</f>
        <v>21600</v>
      </c>
      <c r="M9" s="40" t="n">
        <f aca="false">f_trend</f>
        <v>1.182194</v>
      </c>
      <c r="N9" s="18" t="n">
        <f aca="false">H9*L9*M9/(1-EXP(-H9))</f>
        <v>71718.8291028078</v>
      </c>
      <c r="O9" s="44" t="n">
        <f aca="false">INDEX(Cov_CV,MATCH(C9,Cov_Cod,0))</f>
        <v>1</v>
      </c>
      <c r="P9" s="40" t="n">
        <f aca="false">SQRT(LN(1+O9^2))</f>
        <v>0.832554611157698</v>
      </c>
      <c r="Q9" s="40" t="n">
        <f aca="false">LN(N9)-P9^2/2</f>
        <v>10.833935011355</v>
      </c>
      <c r="R9" s="40" t="n">
        <f aca="false">IF(G9&lt;=0,1,NORMSDIST((LN(G9)-Q9-P9^2)/P9)+G9/N9*(1-NORMSDIST((LN(G9)-Q9)/P9)))</f>
        <v>0.999970644868687</v>
      </c>
      <c r="S9" s="14" t="n">
        <f aca="false">IF(F9="—",0,H9*L9*M9*R9)</f>
        <v>66390.0660936804</v>
      </c>
      <c r="T9" s="18" t="n">
        <f aca="false">S9*sig_SAG</f>
        <v>3319.50330468402</v>
      </c>
      <c r="U9" s="14" t="n">
        <f aca="false">S9+T9</f>
        <v>69709.5693983644</v>
      </c>
      <c r="V9" s="14" t="n">
        <f aca="false">U9/(1-load_SAG)</f>
        <v>88239.9612637524</v>
      </c>
      <c r="W9" s="18" t="n">
        <f aca="false">V9*ea_SAG</f>
        <v>8823.99612637524</v>
      </c>
      <c r="X9" s="18" t="n">
        <f aca="false">V9*ec_SAG</f>
        <v>6176.79728846267</v>
      </c>
      <c r="Y9" s="18" t="n">
        <f aca="false">V9*m_SAG</f>
        <v>3529.5984505501</v>
      </c>
      <c r="Z9" s="18" t="n">
        <f aca="false">V9*tax_SAG</f>
        <v>882.399612637524</v>
      </c>
      <c r="AA9" s="19" t="n">
        <f aca="false">V9+Z9</f>
        <v>89122.3608763899</v>
      </c>
      <c r="AB9" s="40" t="n">
        <f aca="false">IF(G9&gt;0,S9/G9*1000,"n.a.")</f>
        <v>33.1950330468402</v>
      </c>
    </row>
    <row r="10" customFormat="false" ht="15" hidden="false" customHeight="false" outlineLevel="0" collapsed="false">
      <c r="A10" s="32" t="str">
        <f aca="false">B10&amp;"|"&amp;C10</f>
        <v>Colaboradores|AMB_MCDT</v>
      </c>
      <c r="B10" s="16" t="s">
        <v>327</v>
      </c>
      <c r="C10" s="7" t="s">
        <v>151</v>
      </c>
      <c r="D10" s="32" t="str">
        <f aca="false">INDEX(Cov_Nome,MATCH(C10,Cov_Cod,0))</f>
        <v>MCDT — Exames, Análises e Imagiologia</v>
      </c>
      <c r="E10" s="32" t="str">
        <f aca="false">INDEX(Cov_Grupo,MATCH(C10,Cov_Cod,0))</f>
        <v>Principal</v>
      </c>
      <c r="F10" s="37" t="s">
        <v>296</v>
      </c>
      <c r="G10" s="35" t="n">
        <v>2000000</v>
      </c>
      <c r="H10" s="40" t="n">
        <f aca="false">INDEX(Cov_Lambda,MATCH(C10,Cov_Cod,0))</f>
        <v>3.8</v>
      </c>
      <c r="I10" s="18" t="n">
        <f aca="false">INDEX(Cov_Mu,MATCH(C10,Cov_Cod,0))</f>
        <v>14600</v>
      </c>
      <c r="J10" s="40" t="n">
        <f aca="false">IF(INDEX(Cov_FR,MATCH(C10,Cov_Cod,0))="S",INDEX(PF_Factor,MATCH("SAG|"&amp;B10,PF_Key,0)),1)</f>
        <v>0.9</v>
      </c>
      <c r="K10" s="18" t="n">
        <f aca="false">IF(C10="HOSP_INT",los_int,IF(C10="HOSP_CIR",los_cir,0))*MAX(0,room_ref*J10-INDEX(PF_Room,MATCH("SAG|"&amp;B10,PF_Key,0)))</f>
        <v>0</v>
      </c>
      <c r="L10" s="18" t="n">
        <f aca="false">MAX(0,I10*J10-K10)</f>
        <v>13140</v>
      </c>
      <c r="M10" s="40" t="n">
        <f aca="false">f_trend</f>
        <v>1.182194</v>
      </c>
      <c r="N10" s="18" t="n">
        <f aca="false">H10*L10*M10/(1-EXP(-H10))</f>
        <v>60380.0593401605</v>
      </c>
      <c r="O10" s="44" t="n">
        <f aca="false">INDEX(Cov_CV,MATCH(C10,Cov_Cod,0))</f>
        <v>1.5</v>
      </c>
      <c r="P10" s="40" t="n">
        <f aca="false">SQRT(LN(1+O10^2))</f>
        <v>1.08565878449062</v>
      </c>
      <c r="Q10" s="40" t="n">
        <f aca="false">LN(N10)-P10^2/2</f>
        <v>10.4190866878679</v>
      </c>
      <c r="R10" s="40" t="n">
        <f aca="false">IF(G10&lt;=0,1,NORMSDIST((LN(G10)-Q10-P10^2)/P10)+G10/N10*(1-NORMSDIST((LN(G10)-Q10)/P10)))</f>
        <v>0.99906996513844</v>
      </c>
      <c r="S10" s="14" t="n">
        <f aca="false">IF(F10="—",0,H10*L10*M10*R10)</f>
        <v>58974.4114910947</v>
      </c>
      <c r="T10" s="18" t="n">
        <f aca="false">S10*sig_SAG</f>
        <v>2948.72057455473</v>
      </c>
      <c r="U10" s="14" t="n">
        <f aca="false">S10+T10</f>
        <v>61923.1320656494</v>
      </c>
      <c r="V10" s="14" t="n">
        <f aca="false">U10/(1-load_SAG)</f>
        <v>78383.7114755056</v>
      </c>
      <c r="W10" s="18" t="n">
        <f aca="false">V10*ea_SAG</f>
        <v>7838.37114755056</v>
      </c>
      <c r="X10" s="18" t="n">
        <f aca="false">V10*ec_SAG</f>
        <v>5486.85980328539</v>
      </c>
      <c r="Y10" s="18" t="n">
        <f aca="false">V10*m_SAG</f>
        <v>3135.34845902022</v>
      </c>
      <c r="Z10" s="18" t="n">
        <f aca="false">V10*tax_SAG</f>
        <v>783.837114755056</v>
      </c>
      <c r="AA10" s="19" t="n">
        <f aca="false">V10+Z10</f>
        <v>79167.5485902606</v>
      </c>
      <c r="AB10" s="40" t="n">
        <f aca="false">IF(G10&gt;0,S10/G10*1000,"n.a.")</f>
        <v>29.4872057455473</v>
      </c>
    </row>
    <row r="11" customFormat="false" ht="15" hidden="false" customHeight="false" outlineLevel="0" collapsed="false">
      <c r="A11" s="32" t="str">
        <f aca="false">B11&amp;"|"&amp;C11</f>
        <v>Colaboradores|MAL</v>
      </c>
      <c r="B11" s="16" t="s">
        <v>327</v>
      </c>
      <c r="C11" s="7" t="s">
        <v>155</v>
      </c>
      <c r="D11" s="32" t="str">
        <f aca="false">INDEX(Cov_Nome,MATCH(C11,Cov_Cod,0))</f>
        <v>Malária e Doenças Endémicas (ambulatório)</v>
      </c>
      <c r="E11" s="32" t="str">
        <f aca="false">INDEX(Cov_Grupo,MATCH(C11,Cov_Cod,0))</f>
        <v>Principal</v>
      </c>
      <c r="F11" s="37" t="s">
        <v>296</v>
      </c>
      <c r="G11" s="35" t="n">
        <v>2000000</v>
      </c>
      <c r="H11" s="40" t="n">
        <f aca="false">INDEX(Cov_Lambda,MATCH(C11,Cov_Cod,0))</f>
        <v>0.3</v>
      </c>
      <c r="I11" s="18" t="n">
        <f aca="false">INDEX(Cov_Mu,MATCH(C11,Cov_Cod,0))</f>
        <v>36500</v>
      </c>
      <c r="J11" s="40" t="n">
        <f aca="false">IF(INDEX(Cov_FR,MATCH(C11,Cov_Cod,0))="S",INDEX(PF_Factor,MATCH("SAG|"&amp;B11,PF_Key,0)),1)</f>
        <v>0.9</v>
      </c>
      <c r="K11" s="18" t="n">
        <f aca="false">IF(C11="HOSP_INT",los_int,IF(C11="HOSP_CIR",los_cir,0))*MAX(0,room_ref*J11-INDEX(PF_Room,MATCH("SAG|"&amp;B11,PF_Key,0)))</f>
        <v>0</v>
      </c>
      <c r="L11" s="18" t="n">
        <f aca="false">MAX(0,I11*J11-K11)</f>
        <v>32850</v>
      </c>
      <c r="M11" s="40" t="n">
        <f aca="false">f_trend</f>
        <v>1.182194</v>
      </c>
      <c r="N11" s="18" t="n">
        <f aca="false">H11*L11*M11/(1-EXP(-H11))</f>
        <v>44951.1609212808</v>
      </c>
      <c r="O11" s="44" t="n">
        <f aca="false">INDEX(Cov_CV,MATCH(C11,Cov_Cod,0))</f>
        <v>0.8</v>
      </c>
      <c r="P11" s="40" t="n">
        <f aca="false">SQRT(LN(1+O11^2))</f>
        <v>0.703346459318668</v>
      </c>
      <c r="Q11" s="40" t="n">
        <f aca="false">LN(N11)-P11^2/2</f>
        <v>10.4659837455955</v>
      </c>
      <c r="R11" s="40" t="n">
        <f aca="false">IF(G11&lt;=0,1,NORMSDIST((LN(G11)-Q11-P11^2)/P11)+G11/N11*(1-NORMSDIST((LN(G11)-Q11)/P11)))</f>
        <v>0.999999973724388</v>
      </c>
      <c r="S11" s="14" t="n">
        <f aca="false">IF(F11="—",0,H11*L11*M11*R11)</f>
        <v>11650.5215638754</v>
      </c>
      <c r="T11" s="18" t="n">
        <f aca="false">S11*sig_SAG</f>
        <v>582.52607819377</v>
      </c>
      <c r="U11" s="14" t="n">
        <f aca="false">S11+T11</f>
        <v>12233.0476420692</v>
      </c>
      <c r="V11" s="14" t="n">
        <f aca="false">U11/(1-load_SAG)</f>
        <v>15484.8704329989</v>
      </c>
      <c r="W11" s="18" t="n">
        <f aca="false">V11*ea_SAG</f>
        <v>1548.4870432999</v>
      </c>
      <c r="X11" s="18" t="n">
        <f aca="false">V11*ec_SAG</f>
        <v>1083.94093030993</v>
      </c>
      <c r="Y11" s="18" t="n">
        <f aca="false">V11*m_SAG</f>
        <v>619.394817319958</v>
      </c>
      <c r="Z11" s="18" t="n">
        <f aca="false">V11*tax_SAG</f>
        <v>154.84870432999</v>
      </c>
      <c r="AA11" s="19" t="n">
        <f aca="false">V11+Z11</f>
        <v>15639.7191373289</v>
      </c>
      <c r="AB11" s="40" t="n">
        <f aca="false">IF(G11&gt;0,S11/G11*1000,"n.a.")</f>
        <v>5.8252607819377</v>
      </c>
    </row>
    <row r="12" customFormat="false" ht="15" hidden="false" customHeight="false" outlineLevel="0" collapsed="false">
      <c r="A12" s="32" t="str">
        <f aca="false">B12&amp;"|"&amp;C12</f>
        <v>Colaboradores|MAT</v>
      </c>
      <c r="B12" s="16" t="s">
        <v>327</v>
      </c>
      <c r="C12" s="7" t="s">
        <v>159</v>
      </c>
      <c r="D12" s="32" t="str">
        <f aca="false">INDEX(Cov_Nome,MATCH(C12,Cov_Cod,0))</f>
        <v>Maternidade e Parto (Normal e Cesariana)</v>
      </c>
      <c r="E12" s="32" t="str">
        <f aca="false">INDEX(Cov_Grupo,MATCH(C12,Cov_Cod,0))</f>
        <v>Principal</v>
      </c>
      <c r="F12" s="37" t="s">
        <v>296</v>
      </c>
      <c r="G12" s="35" t="n">
        <v>800000</v>
      </c>
      <c r="H12" s="40" t="n">
        <f aca="false">INDEX(Cov_Lambda,MATCH(C12,Cov_Cod,0))</f>
        <v>0.075</v>
      </c>
      <c r="I12" s="18" t="n">
        <f aca="false">INDEX(Cov_Mu,MATCH(C12,Cov_Cod,0))</f>
        <v>885640</v>
      </c>
      <c r="J12" s="40" t="n">
        <f aca="false">IF(INDEX(Cov_FR,MATCH(C12,Cov_Cod,0))="S",INDEX(PF_Factor,MATCH("SAG|"&amp;B12,PF_Key,0)),1)</f>
        <v>0.9</v>
      </c>
      <c r="K12" s="18" t="n">
        <f aca="false">IF(C12="HOSP_INT",los_int,IF(C12="HOSP_CIR",los_cir,0))*MAX(0,room_ref*J12-INDEX(PF_Room,MATCH("SAG|"&amp;B12,PF_Key,0)))</f>
        <v>0</v>
      </c>
      <c r="L12" s="18" t="n">
        <f aca="false">MAX(0,I12*J12-K12)</f>
        <v>797076</v>
      </c>
      <c r="M12" s="40" t="n">
        <f aca="false">f_trend</f>
        <v>1.182194</v>
      </c>
      <c r="N12" s="18" t="n">
        <f aca="false">H12*L12*M12/(1-EXP(-H12))</f>
        <v>978076.318173193</v>
      </c>
      <c r="O12" s="44" t="n">
        <f aca="false">INDEX(Cov_CV,MATCH(C12,Cov_Cod,0))</f>
        <v>0.5</v>
      </c>
      <c r="P12" s="40" t="n">
        <f aca="false">SQRT(LN(1+O12^2))</f>
        <v>0.472380727077439</v>
      </c>
      <c r="Q12" s="40" t="n">
        <f aca="false">LN(N12)-P12^2/2</f>
        <v>13.6817712052572</v>
      </c>
      <c r="R12" s="40" t="n">
        <f aca="false">IF(G12&lt;=0,1,NORMSDIST((LN(G12)-Q12-P12^2)/P12)+G12/N12*(1-NORMSDIST((LN(G12)-Q12)/P12)))</f>
        <v>0.724457074690711</v>
      </c>
      <c r="S12" s="14" t="n">
        <f aca="false">IF(F12="—",0,H12*L12*M12*R12)</f>
        <v>51199.109194049</v>
      </c>
      <c r="T12" s="18" t="n">
        <f aca="false">S12*sig_SAG</f>
        <v>2559.95545970245</v>
      </c>
      <c r="U12" s="14" t="n">
        <f aca="false">S12+T12</f>
        <v>53759.0646537514</v>
      </c>
      <c r="V12" s="14" t="n">
        <f aca="false">U12/(1-load_SAG)</f>
        <v>68049.4489287993</v>
      </c>
      <c r="W12" s="18" t="n">
        <f aca="false">V12*ea_SAG</f>
        <v>6804.94489287993</v>
      </c>
      <c r="X12" s="18" t="n">
        <f aca="false">V12*ec_SAG</f>
        <v>4763.46142501595</v>
      </c>
      <c r="Y12" s="18" t="n">
        <f aca="false">V12*m_SAG</f>
        <v>2721.97795715197</v>
      </c>
      <c r="Z12" s="18" t="n">
        <f aca="false">V12*tax_SAG</f>
        <v>680.494489287993</v>
      </c>
      <c r="AA12" s="19" t="n">
        <f aca="false">V12+Z12</f>
        <v>68729.9434180873</v>
      </c>
      <c r="AB12" s="40" t="n">
        <f aca="false">IF(G12&gt;0,S12/G12*1000,"n.a.")</f>
        <v>63.9988864925612</v>
      </c>
    </row>
    <row r="13" customFormat="false" ht="15" hidden="false" customHeight="false" outlineLevel="0" collapsed="false">
      <c r="A13" s="32" t="str">
        <f aca="false">B13&amp;"|"&amp;C13</f>
        <v>Colaboradores|URG</v>
      </c>
      <c r="B13" s="16" t="s">
        <v>327</v>
      </c>
      <c r="C13" s="7" t="s">
        <v>164</v>
      </c>
      <c r="D13" s="32" t="str">
        <f aca="false">INDEX(Cov_Nome,MATCH(C13,Cov_Cod,0))</f>
        <v>Urgência Hospitalar</v>
      </c>
      <c r="E13" s="32" t="str">
        <f aca="false">INDEX(Cov_Grupo,MATCH(C13,Cov_Cod,0))</f>
        <v>Principal</v>
      </c>
      <c r="F13" s="37" t="s">
        <v>296</v>
      </c>
      <c r="G13" s="35" t="n">
        <v>400000</v>
      </c>
      <c r="H13" s="40" t="n">
        <f aca="false">INDEX(Cov_Lambda,MATCH(C13,Cov_Cod,0))</f>
        <v>0.42</v>
      </c>
      <c r="I13" s="18" t="n">
        <f aca="false">INDEX(Cov_Mu,MATCH(C13,Cov_Cod,0))</f>
        <v>43300</v>
      </c>
      <c r="J13" s="40" t="n">
        <f aca="false">IF(INDEX(Cov_FR,MATCH(C13,Cov_Cod,0))="S",INDEX(PF_Factor,MATCH("SAG|"&amp;B13,PF_Key,0)),1)</f>
        <v>0.9</v>
      </c>
      <c r="K13" s="18" t="n">
        <f aca="false">IF(C13="HOSP_INT",los_int,IF(C13="HOSP_CIR",los_cir,0))*MAX(0,room_ref*J13-INDEX(PF_Room,MATCH("SAG|"&amp;B13,PF_Key,0)))</f>
        <v>0</v>
      </c>
      <c r="L13" s="18" t="n">
        <f aca="false">MAX(0,I13*J13-K13)</f>
        <v>38970</v>
      </c>
      <c r="M13" s="40" t="n">
        <f aca="false">f_trend</f>
        <v>1.182194</v>
      </c>
      <c r="N13" s="18" t="n">
        <f aca="false">H13*L13*M13/(1-EXP(-H13))</f>
        <v>56420.0689585835</v>
      </c>
      <c r="O13" s="44" t="n">
        <f aca="false">INDEX(Cov_CV,MATCH(C13,Cov_Cod,0))</f>
        <v>1</v>
      </c>
      <c r="P13" s="40" t="n">
        <f aca="false">SQRT(LN(1+O13^2))</f>
        <v>0.832554611157698</v>
      </c>
      <c r="Q13" s="40" t="n">
        <f aca="false">LN(N13)-P13^2/2</f>
        <v>10.5940066165118</v>
      </c>
      <c r="R13" s="40" t="n">
        <f aca="false">IF(G13&lt;=0,1,NORMSDIST((LN(G13)-Q13-P13^2)/P13)+G13/N13*(1-NORMSDIST((LN(G13)-Q13)/P13)))</f>
        <v>0.99352555172187</v>
      </c>
      <c r="S13" s="14" t="n">
        <f aca="false">IF(F13="—",0,H13*L13*M13*R13)</f>
        <v>19224.1651136708</v>
      </c>
      <c r="T13" s="18" t="n">
        <f aca="false">S13*sig_SAG</f>
        <v>961.208255683542</v>
      </c>
      <c r="U13" s="14" t="n">
        <f aca="false">S13+T13</f>
        <v>20185.3733693544</v>
      </c>
      <c r="V13" s="14" t="n">
        <f aca="false">U13/(1-load_SAG)</f>
        <v>25551.1055308283</v>
      </c>
      <c r="W13" s="18" t="n">
        <f aca="false">V13*ea_SAG</f>
        <v>2555.11055308283</v>
      </c>
      <c r="X13" s="18" t="n">
        <f aca="false">V13*ec_SAG</f>
        <v>1788.57738715798</v>
      </c>
      <c r="Y13" s="18" t="n">
        <f aca="false">V13*m_SAG</f>
        <v>1022.04422123313</v>
      </c>
      <c r="Z13" s="18" t="n">
        <f aca="false">V13*tax_SAG</f>
        <v>255.511055308283</v>
      </c>
      <c r="AA13" s="19" t="n">
        <f aca="false">V13+Z13</f>
        <v>25806.6165861366</v>
      </c>
      <c r="AB13" s="40" t="n">
        <f aca="false">IF(G13&gt;0,S13/G13*1000,"n.a.")</f>
        <v>48.0604127841771</v>
      </c>
    </row>
    <row r="14" customFormat="false" ht="15" hidden="false" customHeight="false" outlineLevel="0" collapsed="false">
      <c r="A14" s="32" t="str">
        <f aca="false">B14&amp;"|"&amp;C14</f>
        <v>Colaboradores|AMBUL</v>
      </c>
      <c r="B14" s="16" t="s">
        <v>327</v>
      </c>
      <c r="C14" s="7" t="s">
        <v>167</v>
      </c>
      <c r="D14" s="32" t="str">
        <f aca="false">INDEX(Cov_Nome,MATCH(C14,Cov_Cod,0))</f>
        <v>Transporte em Ambulância / Emergência Médica</v>
      </c>
      <c r="E14" s="32" t="str">
        <f aca="false">INDEX(Cov_Grupo,MATCH(C14,Cov_Cod,0))</f>
        <v>Principal</v>
      </c>
      <c r="F14" s="37" t="s">
        <v>296</v>
      </c>
      <c r="G14" s="35" t="n">
        <v>200000</v>
      </c>
      <c r="H14" s="40" t="n">
        <f aca="false">INDEX(Cov_Lambda,MATCH(C14,Cov_Cod,0))</f>
        <v>0.018</v>
      </c>
      <c r="I14" s="18" t="n">
        <f aca="false">INDEX(Cov_Mu,MATCH(C14,Cov_Cod,0))</f>
        <v>76000</v>
      </c>
      <c r="J14" s="40" t="n">
        <f aca="false">IF(INDEX(Cov_FR,MATCH(C14,Cov_Cod,0))="S",INDEX(PF_Factor,MATCH("SAG|"&amp;B14,PF_Key,0)),1)</f>
        <v>1</v>
      </c>
      <c r="K14" s="18" t="n">
        <f aca="false">IF(C14="HOSP_INT",los_int,IF(C14="HOSP_CIR",los_cir,0))*MAX(0,room_ref*J14-INDEX(PF_Room,MATCH("SAG|"&amp;B14,PF_Key,0)))</f>
        <v>0</v>
      </c>
      <c r="L14" s="18" t="n">
        <f aca="false">MAX(0,I14*J14-K14)</f>
        <v>76000</v>
      </c>
      <c r="M14" s="40" t="n">
        <f aca="false">f_trend</f>
        <v>1.182194</v>
      </c>
      <c r="N14" s="18" t="n">
        <f aca="false">H14*L14*M14/(1-EXP(-H14))</f>
        <v>90657.7905449887</v>
      </c>
      <c r="O14" s="44" t="n">
        <f aca="false">INDEX(Cov_CV,MATCH(C14,Cov_Cod,0))</f>
        <v>0.6</v>
      </c>
      <c r="P14" s="40" t="n">
        <f aca="false">SQRT(LN(1+O14^2))</f>
        <v>0.554513029376191</v>
      </c>
      <c r="Q14" s="40" t="n">
        <f aca="false">LN(N14)-P14^2/2</f>
        <v>11.2611048035428</v>
      </c>
      <c r="R14" s="40" t="n">
        <f aca="false">IF(G14&lt;=0,1,NORMSDIST((LN(G14)-Q14-P14^2)/P14)+G14/N14*(1-NORMSDIST((LN(G14)-Q14)/P14)))</f>
        <v>0.97231106504476</v>
      </c>
      <c r="S14" s="14" t="n">
        <f aca="false">IF(F14="—",0,H14*L14*M14*R14)</f>
        <v>1572.46170028999</v>
      </c>
      <c r="T14" s="18" t="n">
        <f aca="false">S14*sig_SAG</f>
        <v>78.6230850144995</v>
      </c>
      <c r="U14" s="14" t="n">
        <f aca="false">S14+T14</f>
        <v>1651.08478530449</v>
      </c>
      <c r="V14" s="14" t="n">
        <f aca="false">U14/(1-load_SAG)</f>
        <v>2089.98074089176</v>
      </c>
      <c r="W14" s="18" t="n">
        <f aca="false">V14*ea_SAG</f>
        <v>208.998074089176</v>
      </c>
      <c r="X14" s="18" t="n">
        <f aca="false">V14*ec_SAG</f>
        <v>146.298651862423</v>
      </c>
      <c r="Y14" s="18" t="n">
        <f aca="false">V14*m_SAG</f>
        <v>83.5992296356703</v>
      </c>
      <c r="Z14" s="18" t="n">
        <f aca="false">V14*tax_SAG</f>
        <v>20.8998074089176</v>
      </c>
      <c r="AA14" s="19" t="n">
        <f aca="false">V14+Z14</f>
        <v>2110.88054830068</v>
      </c>
      <c r="AB14" s="40" t="n">
        <f aca="false">IF(G14&gt;0,S14/G14*1000,"n.a.")</f>
        <v>7.86230850144995</v>
      </c>
    </row>
    <row r="15" customFormat="false" ht="15" hidden="false" customHeight="false" outlineLevel="0" collapsed="false">
      <c r="A15" s="32" t="str">
        <f aca="false">B15&amp;"|"&amp;C15</f>
        <v>Colaboradores|MED</v>
      </c>
      <c r="B15" s="16" t="s">
        <v>327</v>
      </c>
      <c r="C15" s="7" t="s">
        <v>172</v>
      </c>
      <c r="D15" s="32" t="str">
        <f aca="false">INDEX(Cov_Nome,MATCH(C15,Cov_Cod,0))</f>
        <v>Medicamentos em Ambulatório (Farmácia)</v>
      </c>
      <c r="E15" s="32" t="str">
        <f aca="false">INDEX(Cov_Grupo,MATCH(C15,Cov_Cod,0))</f>
        <v>Principal</v>
      </c>
      <c r="F15" s="37" t="s">
        <v>297</v>
      </c>
      <c r="G15" s="35" t="n">
        <v>300000</v>
      </c>
      <c r="H15" s="40" t="n">
        <f aca="false">INDEX(Cov_Lambda,MATCH(C15,Cov_Cod,0))</f>
        <v>3.4</v>
      </c>
      <c r="I15" s="18" t="n">
        <f aca="false">INDEX(Cov_Mu,MATCH(C15,Cov_Cod,0))</f>
        <v>17400</v>
      </c>
      <c r="J15" s="40" t="n">
        <f aca="false">IF(INDEX(Cov_FR,MATCH(C15,Cov_Cod,0))="S",INDEX(PF_Factor,MATCH("SAG|"&amp;B15,PF_Key,0)),1)</f>
        <v>1</v>
      </c>
      <c r="K15" s="18" t="n">
        <f aca="false">IF(C15="HOSP_INT",los_int,IF(C15="HOSP_CIR",los_cir,0))*MAX(0,room_ref*J15-INDEX(PF_Room,MATCH("SAG|"&amp;B15,PF_Key,0)))</f>
        <v>0</v>
      </c>
      <c r="L15" s="18" t="n">
        <f aca="false">MAX(0,I15*J15-K15)</f>
        <v>17400</v>
      </c>
      <c r="M15" s="40" t="n">
        <f aca="false">f_trend</f>
        <v>1.182194</v>
      </c>
      <c r="N15" s="18" t="n">
        <f aca="false">H15*L15*M15/(1-EXP(-H15))</f>
        <v>72353.2619847265</v>
      </c>
      <c r="O15" s="44" t="n">
        <f aca="false">INDEX(Cov_CV,MATCH(C15,Cov_Cod,0))</f>
        <v>1.2</v>
      </c>
      <c r="P15" s="40" t="n">
        <f aca="false">SQRT(LN(1+O15^2))</f>
        <v>0.944456478248262</v>
      </c>
      <c r="Q15" s="40" t="n">
        <f aca="false">LN(N15)-P15^2/2</f>
        <v>10.7433167975652</v>
      </c>
      <c r="R15" s="40" t="n">
        <f aca="false">IF(G15&lt;=0,1,NORMSDIST((LN(G15)-Q15-P15^2)/P15)+G15/N15*(1-NORMSDIST((LN(G15)-Q15)/P15)))</f>
        <v>0.948689143207198</v>
      </c>
      <c r="S15" s="14" t="n">
        <f aca="false">IF(F15="—",0,H15*L15*M15*R15)</f>
        <v>66349.9877029911</v>
      </c>
      <c r="T15" s="18" t="n">
        <f aca="false">S15*sig_SAG</f>
        <v>3317.49938514955</v>
      </c>
      <c r="U15" s="14" t="n">
        <f aca="false">S15+T15</f>
        <v>69667.4870881406</v>
      </c>
      <c r="V15" s="14" t="n">
        <f aca="false">U15/(1-load_SAG)</f>
        <v>88186.6925166337</v>
      </c>
      <c r="W15" s="18" t="n">
        <f aca="false">V15*ea_SAG</f>
        <v>8818.66925166337</v>
      </c>
      <c r="X15" s="18" t="n">
        <f aca="false">V15*ec_SAG</f>
        <v>6173.06847616436</v>
      </c>
      <c r="Y15" s="18" t="n">
        <f aca="false">V15*m_SAG</f>
        <v>3527.46770066535</v>
      </c>
      <c r="Z15" s="18" t="n">
        <f aca="false">V15*tax_SAG</f>
        <v>881.866925166337</v>
      </c>
      <c r="AA15" s="19" t="n">
        <f aca="false">V15+Z15</f>
        <v>89068.5594418</v>
      </c>
      <c r="AB15" s="40" t="n">
        <f aca="false">IF(G15&gt;0,S15/G15*1000,"n.a.")</f>
        <v>221.166625676637</v>
      </c>
    </row>
    <row r="16" customFormat="false" ht="15" hidden="false" customHeight="false" outlineLevel="0" collapsed="false">
      <c r="A16" s="32" t="str">
        <f aca="false">B16&amp;"|"&amp;C16</f>
        <v>Colaboradores|DENT</v>
      </c>
      <c r="B16" s="16" t="s">
        <v>327</v>
      </c>
      <c r="C16" s="7" t="s">
        <v>176</v>
      </c>
      <c r="D16" s="32" t="str">
        <f aca="false">INDEX(Cov_Nome,MATCH(C16,Cov_Cod,0))</f>
        <v>Estomatologia (tratamentos)</v>
      </c>
      <c r="E16" s="32" t="str">
        <f aca="false">INDEX(Cov_Grupo,MATCH(C16,Cov_Cod,0))</f>
        <v>Extensão</v>
      </c>
      <c r="F16" s="37" t="s">
        <v>297</v>
      </c>
      <c r="G16" s="35" t="n">
        <v>200000</v>
      </c>
      <c r="H16" s="40" t="n">
        <f aca="false">INDEX(Cov_Lambda,MATCH(C16,Cov_Cod,0))</f>
        <v>0.85</v>
      </c>
      <c r="I16" s="18" t="n">
        <f aca="false">INDEX(Cov_Mu,MATCH(C16,Cov_Cod,0))</f>
        <v>34500</v>
      </c>
      <c r="J16" s="40" t="n">
        <f aca="false">IF(INDEX(Cov_FR,MATCH(C16,Cov_Cod,0))="S",INDEX(PF_Factor,MATCH("SAG|"&amp;B16,PF_Key,0)),1)</f>
        <v>0.9</v>
      </c>
      <c r="K16" s="18" t="n">
        <f aca="false">IF(C16="HOSP_INT",los_int,IF(C16="HOSP_CIR",los_cir,0))*MAX(0,room_ref*J16-INDEX(PF_Room,MATCH("SAG|"&amp;B16,PF_Key,0)))</f>
        <v>0</v>
      </c>
      <c r="L16" s="18" t="n">
        <f aca="false">MAX(0,I16*J16-K16)</f>
        <v>31050</v>
      </c>
      <c r="M16" s="40" t="n">
        <f aca="false">f_trend</f>
        <v>1.182194</v>
      </c>
      <c r="N16" s="18" t="n">
        <f aca="false">H16*L16*M16/(1-EXP(-H16))</f>
        <v>54491.5627143215</v>
      </c>
      <c r="O16" s="44" t="n">
        <f aca="false">INDEX(Cov_CV,MATCH(C16,Cov_Cod,0))</f>
        <v>1</v>
      </c>
      <c r="P16" s="40" t="n">
        <f aca="false">SQRT(LN(1+O16^2))</f>
        <v>0.832554611157698</v>
      </c>
      <c r="Q16" s="40" t="n">
        <f aca="false">LN(N16)-P16^2/2</f>
        <v>10.5592275658054</v>
      </c>
      <c r="R16" s="40" t="n">
        <f aca="false">IF(G16&lt;=0,1,NORMSDIST((LN(G16)-Q16-P16^2)/P16)+G16/N16*(1-NORMSDIST((LN(G16)-Q16)/P16)))</f>
        <v>0.961943844687444</v>
      </c>
      <c r="S16" s="14" t="n">
        <f aca="false">IF(F16="—",0,H16*L16*M16*R16)</f>
        <v>30013.6629444863</v>
      </c>
      <c r="T16" s="18" t="n">
        <f aca="false">S16*sig_SAG</f>
        <v>1500.68314722431</v>
      </c>
      <c r="U16" s="14" t="n">
        <f aca="false">S16+T16</f>
        <v>31514.3460917106</v>
      </c>
      <c r="V16" s="14" t="n">
        <f aca="false">U16/(1-load_SAG)</f>
        <v>39891.5773312792</v>
      </c>
      <c r="W16" s="18" t="n">
        <f aca="false">V16*ea_SAG</f>
        <v>3989.15773312792</v>
      </c>
      <c r="X16" s="18" t="n">
        <f aca="false">V16*ec_SAG</f>
        <v>2792.41041318954</v>
      </c>
      <c r="Y16" s="18" t="n">
        <f aca="false">V16*m_SAG</f>
        <v>1595.66309325117</v>
      </c>
      <c r="Z16" s="18" t="n">
        <f aca="false">V16*tax_SAG</f>
        <v>398.915773312792</v>
      </c>
      <c r="AA16" s="19" t="n">
        <f aca="false">V16+Z16</f>
        <v>40290.493104592</v>
      </c>
      <c r="AB16" s="40" t="n">
        <f aca="false">IF(G16&gt;0,S16/G16*1000,"n.a.")</f>
        <v>150.068314722431</v>
      </c>
    </row>
    <row r="17" customFormat="false" ht="15" hidden="false" customHeight="false" outlineLevel="0" collapsed="false">
      <c r="A17" s="32" t="str">
        <f aca="false">B17&amp;"|"&amp;C17</f>
        <v>Colaboradores|PROT</v>
      </c>
      <c r="B17" s="16" t="s">
        <v>327</v>
      </c>
      <c r="C17" s="7" t="s">
        <v>180</v>
      </c>
      <c r="D17" s="32" t="str">
        <f aca="false">INDEX(Cov_Nome,MATCH(C17,Cov_Cod,0))</f>
        <v>Próteses Dentárias</v>
      </c>
      <c r="E17" s="32" t="str">
        <f aca="false">INDEX(Cov_Grupo,MATCH(C17,Cov_Cod,0))</f>
        <v>Extensão</v>
      </c>
      <c r="F17" s="37" t="s">
        <v>297</v>
      </c>
      <c r="G17" s="35" t="n">
        <v>100000</v>
      </c>
      <c r="H17" s="40" t="n">
        <f aca="false">INDEX(Cov_Lambda,MATCH(C17,Cov_Cod,0))</f>
        <v>0.02</v>
      </c>
      <c r="I17" s="18" t="n">
        <f aca="false">INDEX(Cov_Mu,MATCH(C17,Cov_Cod,0))</f>
        <v>304000</v>
      </c>
      <c r="J17" s="40" t="n">
        <f aca="false">IF(INDEX(Cov_FR,MATCH(C17,Cov_Cod,0))="S",INDEX(PF_Factor,MATCH("SAG|"&amp;B17,PF_Key,0)),1)</f>
        <v>1</v>
      </c>
      <c r="K17" s="18" t="n">
        <f aca="false">IF(C17="HOSP_INT",los_int,IF(C17="HOSP_CIR",los_cir,0))*MAX(0,room_ref*J17-INDEX(PF_Room,MATCH("SAG|"&amp;B17,PF_Key,0)))</f>
        <v>0</v>
      </c>
      <c r="L17" s="18" t="n">
        <f aca="false">MAX(0,I17*J17-K17)</f>
        <v>304000</v>
      </c>
      <c r="M17" s="40" t="n">
        <f aca="false">f_trend</f>
        <v>1.182194</v>
      </c>
      <c r="N17" s="18" t="n">
        <f aca="false">H17*L17*M17/(1-EXP(-H17))</f>
        <v>362992.825246003</v>
      </c>
      <c r="O17" s="44" t="n">
        <f aca="false">INDEX(Cov_CV,MATCH(C17,Cov_Cod,0))</f>
        <v>0.7</v>
      </c>
      <c r="P17" s="40" t="n">
        <f aca="false">SQRT(LN(1+O17^2))</f>
        <v>0.631487228657372</v>
      </c>
      <c r="Q17" s="40" t="n">
        <f aca="false">LN(N17)-P17^2/2</f>
        <v>12.6027502879104</v>
      </c>
      <c r="R17" s="40" t="n">
        <f aca="false">IF(G17&lt;=0,1,NORMSDIST((LN(G17)-Q17-P17^2)/P17)+G17/N17*(1-NORMSDIST((LN(G17)-Q17)/P17)))</f>
        <v>0.273068751953048</v>
      </c>
      <c r="S17" s="14" t="n">
        <f aca="false">IF(F17="—",0,H17*L17*M17*R17)</f>
        <v>1962.74706009</v>
      </c>
      <c r="T17" s="18" t="n">
        <f aca="false">S17*sig_SAG</f>
        <v>98.1373530044999</v>
      </c>
      <c r="U17" s="14" t="n">
        <f aca="false">S17+T17</f>
        <v>2060.8844130945</v>
      </c>
      <c r="V17" s="14" t="n">
        <f aca="false">U17/(1-load_SAG)</f>
        <v>2608.71444695506</v>
      </c>
      <c r="W17" s="18" t="n">
        <f aca="false">V17*ea_SAG</f>
        <v>260.871444695506</v>
      </c>
      <c r="X17" s="18" t="n">
        <f aca="false">V17*ec_SAG</f>
        <v>182.610011286854</v>
      </c>
      <c r="Y17" s="18" t="n">
        <f aca="false">V17*m_SAG</f>
        <v>104.348577878202</v>
      </c>
      <c r="Z17" s="18" t="n">
        <f aca="false">V17*tax_SAG</f>
        <v>26.0871444695506</v>
      </c>
      <c r="AA17" s="19" t="n">
        <f aca="false">V17+Z17</f>
        <v>2634.80159142461</v>
      </c>
      <c r="AB17" s="40" t="n">
        <f aca="false">IF(G17&gt;0,S17/G17*1000,"n.a.")</f>
        <v>19.6274706009</v>
      </c>
    </row>
    <row r="18" customFormat="false" ht="15" hidden="false" customHeight="false" outlineLevel="0" collapsed="false">
      <c r="A18" s="32" t="str">
        <f aca="false">B18&amp;"|"&amp;C18</f>
        <v>Colaboradores|OPT</v>
      </c>
      <c r="B18" s="16" t="s">
        <v>327</v>
      </c>
      <c r="C18" s="7" t="s">
        <v>184</v>
      </c>
      <c r="D18" s="32" t="str">
        <f aca="false">INDEX(Cov_Nome,MATCH(C18,Cov_Cod,0))</f>
        <v>Óptica — Lentes e Armações</v>
      </c>
      <c r="E18" s="32" t="str">
        <f aca="false">INDEX(Cov_Grupo,MATCH(C18,Cov_Cod,0))</f>
        <v>Extensão</v>
      </c>
      <c r="F18" s="37" t="s">
        <v>297</v>
      </c>
      <c r="G18" s="35" t="n">
        <v>80000</v>
      </c>
      <c r="H18" s="40" t="n">
        <f aca="false">INDEX(Cov_Lambda,MATCH(C18,Cov_Cod,0))</f>
        <v>0.22</v>
      </c>
      <c r="I18" s="18" t="n">
        <f aca="false">INDEX(Cov_Mu,MATCH(C18,Cov_Cod,0))</f>
        <v>102500</v>
      </c>
      <c r="J18" s="40" t="n">
        <f aca="false">IF(INDEX(Cov_FR,MATCH(C18,Cov_Cod,0))="S",INDEX(PF_Factor,MATCH("SAG|"&amp;B18,PF_Key,0)),1)</f>
        <v>1</v>
      </c>
      <c r="K18" s="18" t="n">
        <f aca="false">IF(C18="HOSP_INT",los_int,IF(C18="HOSP_CIR",los_cir,0))*MAX(0,room_ref*J18-INDEX(PF_Room,MATCH("SAG|"&amp;B18,PF_Key,0)))</f>
        <v>0</v>
      </c>
      <c r="L18" s="18" t="n">
        <f aca="false">MAX(0,I18*J18-K18)</f>
        <v>102500</v>
      </c>
      <c r="M18" s="40" t="n">
        <f aca="false">f_trend</f>
        <v>1.182194</v>
      </c>
      <c r="N18" s="18" t="n">
        <f aca="false">H18*L18*M18/(1-EXP(-H18))</f>
        <v>134992.467257389</v>
      </c>
      <c r="O18" s="44" t="n">
        <f aca="false">INDEX(Cov_CV,MATCH(C18,Cov_Cod,0))</f>
        <v>0.5</v>
      </c>
      <c r="P18" s="40" t="n">
        <f aca="false">SQRT(LN(1+O18^2))</f>
        <v>0.472380727077439</v>
      </c>
      <c r="Q18" s="40" t="n">
        <f aca="false">LN(N18)-P18^2/2</f>
        <v>11.7014024821133</v>
      </c>
      <c r="R18" s="40" t="n">
        <f aca="false">IF(G18&lt;=0,1,NORMSDIST((LN(G18)-Q18-P18^2)/P18)+G18/N18*(1-NORMSDIST((LN(G18)-Q18)/P18)))</f>
        <v>0.568488737632539</v>
      </c>
      <c r="S18" s="14" t="n">
        <f aca="false">IF(F18="—",0,H18*L18*M18*R18)</f>
        <v>15155.042629412</v>
      </c>
      <c r="T18" s="18" t="n">
        <f aca="false">S18*sig_SAG</f>
        <v>757.752131470599</v>
      </c>
      <c r="U18" s="14" t="n">
        <f aca="false">S18+T18</f>
        <v>15912.7947608826</v>
      </c>
      <c r="V18" s="14" t="n">
        <f aca="false">U18/(1-load_SAG)</f>
        <v>20142.7781783324</v>
      </c>
      <c r="W18" s="18" t="n">
        <f aca="false">V18*ea_SAG</f>
        <v>2014.27781783324</v>
      </c>
      <c r="X18" s="18" t="n">
        <f aca="false">V18*ec_SAG</f>
        <v>1409.99447248327</v>
      </c>
      <c r="Y18" s="18" t="n">
        <f aca="false">V18*m_SAG</f>
        <v>805.711127133295</v>
      </c>
      <c r="Z18" s="18" t="n">
        <f aca="false">V18*tax_SAG</f>
        <v>201.427781783324</v>
      </c>
      <c r="AA18" s="19" t="n">
        <f aca="false">V18+Z18</f>
        <v>20344.2059601157</v>
      </c>
      <c r="AB18" s="40" t="n">
        <f aca="false">IF(G18&gt;0,S18/G18*1000,"n.a.")</f>
        <v>189.43803286765</v>
      </c>
    </row>
    <row r="19" customFormat="false" ht="15" hidden="false" customHeight="false" outlineLevel="0" collapsed="false">
      <c r="A19" s="32" t="str">
        <f aca="false">B19&amp;"|"&amp;C19</f>
        <v>Colaboradores|PREV</v>
      </c>
      <c r="B19" s="16" t="s">
        <v>327</v>
      </c>
      <c r="C19" s="7" t="s">
        <v>188</v>
      </c>
      <c r="D19" s="32" t="str">
        <f aca="false">INDEX(Cov_Nome,MATCH(C19,Cov_Cod,0))</f>
        <v>Medicina Preventiva e Check-up Anual</v>
      </c>
      <c r="E19" s="32" t="str">
        <f aca="false">INDEX(Cov_Grupo,MATCH(C19,Cov_Cod,0))</f>
        <v>Extensão</v>
      </c>
      <c r="F19" s="37" t="s">
        <v>297</v>
      </c>
      <c r="G19" s="35" t="n">
        <v>100000</v>
      </c>
      <c r="H19" s="40" t="n">
        <f aca="false">INDEX(Cov_Lambda,MATCH(C19,Cov_Cod,0))</f>
        <v>0.55</v>
      </c>
      <c r="I19" s="18" t="n">
        <f aca="false">INDEX(Cov_Mu,MATCH(C19,Cov_Cod,0))</f>
        <v>76000</v>
      </c>
      <c r="J19" s="40" t="n">
        <f aca="false">IF(INDEX(Cov_FR,MATCH(C19,Cov_Cod,0))="S",INDEX(PF_Factor,MATCH("SAG|"&amp;B19,PF_Key,0)),1)</f>
        <v>1</v>
      </c>
      <c r="K19" s="18" t="n">
        <f aca="false">IF(C19="HOSP_INT",los_int,IF(C19="HOSP_CIR",los_cir,0))*MAX(0,room_ref*J19-INDEX(PF_Room,MATCH("SAG|"&amp;B19,PF_Key,0)))</f>
        <v>0</v>
      </c>
      <c r="L19" s="18" t="n">
        <f aca="false">MAX(0,I19*J19-K19)</f>
        <v>76000</v>
      </c>
      <c r="M19" s="40" t="n">
        <f aca="false">f_trend</f>
        <v>1.182194</v>
      </c>
      <c r="N19" s="18" t="n">
        <f aca="false">H19*L19*M19/(1-EXP(-H19))</f>
        <v>116808.14809336</v>
      </c>
      <c r="O19" s="44" t="n">
        <f aca="false">INDEX(Cov_CV,MATCH(C19,Cov_Cod,0))</f>
        <v>0.3</v>
      </c>
      <c r="P19" s="40" t="n">
        <f aca="false">SQRT(LN(1+O19^2))</f>
        <v>0.293560379208524</v>
      </c>
      <c r="Q19" s="40" t="n">
        <f aca="false">LN(N19)-P19^2/2</f>
        <v>11.6251992598958</v>
      </c>
      <c r="R19" s="40" t="n">
        <f aca="false">IF(G19&lt;=0,1,NORMSDIST((LN(G19)-Q19-P19^2)/P19)+G19/N19*(1-NORMSDIST((LN(G19)-Q19)/P19)))</f>
        <v>0.805074329028047</v>
      </c>
      <c r="S19" s="14" t="n">
        <f aca="false">IF(F19="—",0,H19*L19*M19*R19)</f>
        <v>39783.3189276351</v>
      </c>
      <c r="T19" s="18" t="n">
        <f aca="false">S19*sig_SAG</f>
        <v>1989.16594638175</v>
      </c>
      <c r="U19" s="14" t="n">
        <f aca="false">S19+T19</f>
        <v>41772.4848740168</v>
      </c>
      <c r="V19" s="14" t="n">
        <f aca="false">U19/(1-load_SAG)</f>
        <v>52876.5631316669</v>
      </c>
      <c r="W19" s="18" t="n">
        <f aca="false">V19*ea_SAG</f>
        <v>5287.65631316669</v>
      </c>
      <c r="X19" s="18" t="n">
        <f aca="false">V19*ec_SAG</f>
        <v>3701.35941921668</v>
      </c>
      <c r="Y19" s="18" t="n">
        <f aca="false">V19*m_SAG</f>
        <v>2115.06252526668</v>
      </c>
      <c r="Z19" s="18" t="n">
        <f aca="false">V19*tax_SAG</f>
        <v>528.765631316669</v>
      </c>
      <c r="AA19" s="19" t="n">
        <f aca="false">V19+Z19</f>
        <v>53405.3287629836</v>
      </c>
      <c r="AB19" s="40" t="n">
        <f aca="false">IF(G19&gt;0,S19/G19*1000,"n.a.")</f>
        <v>397.833189276351</v>
      </c>
    </row>
    <row r="20" customFormat="false" ht="15" hidden="false" customHeight="false" outlineLevel="0" collapsed="false">
      <c r="A20" s="32" t="str">
        <f aca="false">B20&amp;"|"&amp;C20</f>
        <v>Colaboradores|EVAC</v>
      </c>
      <c r="B20" s="16" t="s">
        <v>327</v>
      </c>
      <c r="C20" s="7" t="s">
        <v>192</v>
      </c>
      <c r="D20" s="32" t="str">
        <f aca="false">INDEX(Cov_Nome,MATCH(C20,Cov_Cod,0))</f>
        <v>Evacuação Médica e Cobertura no Estrangeiro</v>
      </c>
      <c r="E20" s="32" t="str">
        <f aca="false">INDEX(Cov_Grupo,MATCH(C20,Cov_Cod,0))</f>
        <v>Extensão</v>
      </c>
      <c r="F20" s="37" t="s">
        <v>298</v>
      </c>
      <c r="G20" s="35" t="n">
        <v>0</v>
      </c>
      <c r="H20" s="40" t="n">
        <f aca="false">INDEX(Cov_Lambda,MATCH(C20,Cov_Cod,0))</f>
        <v>0.0012</v>
      </c>
      <c r="I20" s="18" t="n">
        <f aca="false">INDEX(Cov_Mu,MATCH(C20,Cov_Cod,0))</f>
        <v>44700960</v>
      </c>
      <c r="J20" s="40" t="n">
        <f aca="false">IF(INDEX(Cov_FR,MATCH(C20,Cov_Cod,0))="S",INDEX(PF_Factor,MATCH("SAG|"&amp;B20,PF_Key,0)),1)</f>
        <v>1</v>
      </c>
      <c r="K20" s="18" t="n">
        <f aca="false">IF(C20="HOSP_INT",los_int,IF(C20="HOSP_CIR",los_cir,0))*MAX(0,room_ref*J20-INDEX(PF_Room,MATCH("SAG|"&amp;B20,PF_Key,0)))</f>
        <v>0</v>
      </c>
      <c r="L20" s="18" t="n">
        <f aca="false">MAX(0,I20*J20-K20)</f>
        <v>44700960</v>
      </c>
      <c r="M20" s="40" t="n">
        <f aca="false">f_trend</f>
        <v>1.182194</v>
      </c>
      <c r="N20" s="18" t="n">
        <f aca="false">H20*L20*M20/(1-EXP(-H20))</f>
        <v>52876920.171689</v>
      </c>
      <c r="O20" s="44" t="n">
        <f aca="false">INDEX(Cov_CV,MATCH(C20,Cov_Cod,0))</f>
        <v>1</v>
      </c>
      <c r="P20" s="40" t="n">
        <f aca="false">SQRT(LN(1+O20^2))</f>
        <v>0.832554611157698</v>
      </c>
      <c r="Q20" s="40" t="n">
        <f aca="false">LN(N20)-P20^2/2</f>
        <v>17.4369039196952</v>
      </c>
      <c r="R20" s="40" t="n">
        <f aca="false">IF(G20&lt;=0,1,NORMSDIST((LN(G20)-Q20-P20^2)/P20)+G20/N20*(1-NORMSDIST((LN(G20)-Q20)/P20)))</f>
        <v>1</v>
      </c>
      <c r="S20" s="14" t="n">
        <f aca="false">IF(F20="—",0,H20*L20*M20*R20)</f>
        <v>0</v>
      </c>
      <c r="T20" s="18" t="n">
        <f aca="false">S20*sig_SAG</f>
        <v>0</v>
      </c>
      <c r="U20" s="14" t="n">
        <f aca="false">S20+T20</f>
        <v>0</v>
      </c>
      <c r="V20" s="14" t="n">
        <f aca="false">U20/(1-load_SAG)</f>
        <v>0</v>
      </c>
      <c r="W20" s="18" t="n">
        <f aca="false">V20*ea_SAG</f>
        <v>0</v>
      </c>
      <c r="X20" s="18" t="n">
        <f aca="false">V20*ec_SAG</f>
        <v>0</v>
      </c>
      <c r="Y20" s="18" t="n">
        <f aca="false">V20*m_SAG</f>
        <v>0</v>
      </c>
      <c r="Z20" s="18" t="n">
        <f aca="false">V20*tax_SAG</f>
        <v>0</v>
      </c>
      <c r="AA20" s="19" t="n">
        <f aca="false">V20+Z20</f>
        <v>0</v>
      </c>
      <c r="AB20" s="40" t="str">
        <f aca="false">IF(G20&gt;0,S20/G20*1000,"n.a.")</f>
        <v>n.a.</v>
      </c>
    </row>
    <row r="21" customFormat="false" ht="15" hidden="false" customHeight="false" outlineLevel="0" collapsed="false">
      <c r="A21" s="32" t="str">
        <f aca="false">B21&amp;"|"&amp;C21</f>
        <v>Colaboradores|ONCO</v>
      </c>
      <c r="B21" s="16" t="s">
        <v>327</v>
      </c>
      <c r="C21" s="7" t="s">
        <v>196</v>
      </c>
      <c r="D21" s="32" t="str">
        <f aca="false">INDEX(Cov_Nome,MATCH(C21,Cov_Cod,0))</f>
        <v>Doenças Graves — Oncologia</v>
      </c>
      <c r="E21" s="32" t="str">
        <f aca="false">INDEX(Cov_Grupo,MATCH(C21,Cov_Cod,0))</f>
        <v>Extensão</v>
      </c>
      <c r="F21" s="37" t="s">
        <v>297</v>
      </c>
      <c r="G21" s="35" t="n">
        <v>15000000</v>
      </c>
      <c r="H21" s="40" t="n">
        <f aca="false">INDEX(Cov_Lambda,MATCH(C21,Cov_Cod,0))</f>
        <v>0.00055</v>
      </c>
      <c r="I21" s="18" t="n">
        <f aca="false">INDEX(Cov_Mu,MATCH(C21,Cov_Cod,0))</f>
        <v>18400000</v>
      </c>
      <c r="J21" s="40" t="n">
        <f aca="false">IF(INDEX(Cov_FR,MATCH(C21,Cov_Cod,0))="S",INDEX(PF_Factor,MATCH("SAG|"&amp;B21,PF_Key,0)),1)</f>
        <v>1</v>
      </c>
      <c r="K21" s="18" t="n">
        <f aca="false">IF(C21="HOSP_INT",los_int,IF(C21="HOSP_CIR",los_cir,0))*MAX(0,room_ref*J21-INDEX(PF_Room,MATCH("SAG|"&amp;B21,PF_Key,0)))</f>
        <v>0</v>
      </c>
      <c r="L21" s="18" t="n">
        <f aca="false">MAX(0,I21*J21-K21)</f>
        <v>18400000</v>
      </c>
      <c r="M21" s="40" t="n">
        <f aca="false">f_trend</f>
        <v>1.182194</v>
      </c>
      <c r="N21" s="18" t="n">
        <f aca="false">H21*L21*M21/(1-EXP(-H21))</f>
        <v>21758352.0499812</v>
      </c>
      <c r="O21" s="44" t="n">
        <f aca="false">INDEX(Cov_CV,MATCH(C21,Cov_Cod,0))</f>
        <v>1</v>
      </c>
      <c r="P21" s="40" t="n">
        <f aca="false">SQRT(LN(1+O21^2))</f>
        <v>0.832554611157698</v>
      </c>
      <c r="Q21" s="40" t="n">
        <f aca="false">LN(N21)-P21^2/2</f>
        <v>16.548934653807</v>
      </c>
      <c r="R21" s="40" t="n">
        <f aca="false">IF(G21&lt;=0,1,NORMSDIST((LN(G21)-Q21-P21^2)/P21)+G21/N21*(1-NORMSDIST((LN(G21)-Q21)/P21)))</f>
        <v>0.547135966262367</v>
      </c>
      <c r="S21" s="14" t="n">
        <f aca="false">IF(F21="—",0,H21*L21*M21*R21)</f>
        <v>6545.82706777567</v>
      </c>
      <c r="T21" s="18" t="n">
        <f aca="false">S21*sig_SAG</f>
        <v>327.291353388784</v>
      </c>
      <c r="U21" s="14" t="n">
        <f aca="false">S21+T21</f>
        <v>6873.11842116446</v>
      </c>
      <c r="V21" s="14" t="n">
        <f aca="false">U21/(1-load_SAG)</f>
        <v>8700.14990020817</v>
      </c>
      <c r="W21" s="18" t="n">
        <f aca="false">V21*ea_SAG</f>
        <v>870.014990020817</v>
      </c>
      <c r="X21" s="18" t="n">
        <f aca="false">V21*ec_SAG</f>
        <v>609.010493014572</v>
      </c>
      <c r="Y21" s="18" t="n">
        <f aca="false">V21*m_SAG</f>
        <v>348.005996008327</v>
      </c>
      <c r="Z21" s="18" t="n">
        <f aca="false">V21*tax_SAG</f>
        <v>87.0014990020817</v>
      </c>
      <c r="AA21" s="19" t="n">
        <f aca="false">V21+Z21</f>
        <v>8787.15139921025</v>
      </c>
      <c r="AB21" s="40" t="n">
        <f aca="false">IF(G21&gt;0,S21/G21*1000,"n.a.")</f>
        <v>0.436388471185045</v>
      </c>
    </row>
    <row r="22" customFormat="false" ht="15" hidden="false" customHeight="false" outlineLevel="0" collapsed="false">
      <c r="A22" s="32" t="str">
        <f aca="false">B22&amp;"|"&amp;C22</f>
        <v>Colaboradores|HEMO</v>
      </c>
      <c r="B22" s="16" t="s">
        <v>327</v>
      </c>
      <c r="C22" s="7" t="s">
        <v>200</v>
      </c>
      <c r="D22" s="32" t="str">
        <f aca="false">INDEX(Cov_Nome,MATCH(C22,Cov_Cod,0))</f>
        <v>Doenças Crónicas — Hemodiálise</v>
      </c>
      <c r="E22" s="32" t="str">
        <f aca="false">INDEX(Cov_Grupo,MATCH(C22,Cov_Cod,0))</f>
        <v>Extensão</v>
      </c>
      <c r="F22" s="37" t="s">
        <v>297</v>
      </c>
      <c r="G22" s="35" t="n">
        <v>10000000</v>
      </c>
      <c r="H22" s="40" t="n">
        <f aca="false">INDEX(Cov_Lambda,MATCH(C22,Cov_Cod,0))</f>
        <v>0.00025</v>
      </c>
      <c r="I22" s="18" t="n">
        <f aca="false">INDEX(Cov_Mu,MATCH(C22,Cov_Cod,0))</f>
        <v>14352000</v>
      </c>
      <c r="J22" s="40" t="n">
        <f aca="false">IF(INDEX(Cov_FR,MATCH(C22,Cov_Cod,0))="S",INDEX(PF_Factor,MATCH("SAG|"&amp;B22,PF_Key,0)),1)</f>
        <v>1</v>
      </c>
      <c r="K22" s="18" t="n">
        <f aca="false">IF(C22="HOSP_INT",los_int,IF(C22="HOSP_CIR",los_cir,0))*MAX(0,room_ref*J22-INDEX(PF_Room,MATCH("SAG|"&amp;B22,PF_Key,0)))</f>
        <v>0</v>
      </c>
      <c r="L22" s="18" t="n">
        <f aca="false">MAX(0,I22*J22-K22)</f>
        <v>14352000</v>
      </c>
      <c r="M22" s="40" t="n">
        <f aca="false">f_trend</f>
        <v>1.182194</v>
      </c>
      <c r="N22" s="18" t="n">
        <f aca="false">H22*L22*M22/(1-EXP(-H22))</f>
        <v>16968969.2324074</v>
      </c>
      <c r="O22" s="44" t="n">
        <f aca="false">INDEX(Cov_CV,MATCH(C22,Cov_Cod,0))</f>
        <v>0.4</v>
      </c>
      <c r="P22" s="40" t="n">
        <f aca="false">SQRT(LN(1+O22^2))</f>
        <v>0.385253170159927</v>
      </c>
      <c r="Q22" s="40" t="n">
        <f aca="false">LN(N22)-P22^2/2</f>
        <v>16.5726868922294</v>
      </c>
      <c r="R22" s="40" t="n">
        <f aca="false">IF(G22&lt;=0,1,NORMSDIST((LN(G22)-Q22-P22^2)/P22)+G22/N22*(1-NORMSDIST((LN(G22)-Q22)/P22)))</f>
        <v>0.577944695290046</v>
      </c>
      <c r="S22" s="14" t="n">
        <f aca="false">IF(F22="—",0,H22*L22*M22*R22)</f>
        <v>2451.47499096015</v>
      </c>
      <c r="T22" s="18" t="n">
        <f aca="false">S22*sig_SAG</f>
        <v>122.573749548007</v>
      </c>
      <c r="U22" s="14" t="n">
        <f aca="false">S22+T22</f>
        <v>2574.04874050816</v>
      </c>
      <c r="V22" s="14" t="n">
        <f aca="false">U22/(1-load_SAG)</f>
        <v>3258.28954494703</v>
      </c>
      <c r="W22" s="18" t="n">
        <f aca="false">V22*ea_SAG</f>
        <v>325.828954494703</v>
      </c>
      <c r="X22" s="18" t="n">
        <f aca="false">V22*ec_SAG</f>
        <v>228.080268146292</v>
      </c>
      <c r="Y22" s="18" t="n">
        <f aca="false">V22*m_SAG</f>
        <v>130.331581797881</v>
      </c>
      <c r="Z22" s="18" t="n">
        <f aca="false">V22*tax_SAG</f>
        <v>32.5828954494703</v>
      </c>
      <c r="AA22" s="19" t="n">
        <f aca="false">V22+Z22</f>
        <v>3290.8724403965</v>
      </c>
      <c r="AB22" s="40" t="n">
        <f aca="false">IF(G22&gt;0,S22/G22*1000,"n.a.")</f>
        <v>0.245147499096015</v>
      </c>
    </row>
    <row r="23" customFormat="false" ht="15" hidden="false" customHeight="false" outlineLevel="0" collapsed="false">
      <c r="A23" s="38" t="str">
        <f aca="false">B23&amp;"|"&amp;C23</f>
        <v>Quadros Médios|HOSP_INT</v>
      </c>
      <c r="B23" s="21" t="s">
        <v>328</v>
      </c>
      <c r="C23" s="9" t="s">
        <v>132</v>
      </c>
      <c r="D23" s="38" t="str">
        <f aca="false">INDEX(Cov_Nome,MATCH(C23,Cov_Cod,0))</f>
        <v>Internamento Hospitalar Médico (incl. malária grave)</v>
      </c>
      <c r="E23" s="38" t="str">
        <f aca="false">INDEX(Cov_Grupo,MATCH(C23,Cov_Cod,0))</f>
        <v>Principal</v>
      </c>
      <c r="F23" s="37" t="s">
        <v>296</v>
      </c>
      <c r="G23" s="35" t="n">
        <v>25000000</v>
      </c>
      <c r="H23" s="41" t="n">
        <f aca="false">INDEX(Cov_Lambda,MATCH(C23,Cov_Cod,0))</f>
        <v>0.045</v>
      </c>
      <c r="I23" s="46" t="n">
        <f aca="false">INDEX(Cov_Mu,MATCH(C23,Cov_Cod,0))</f>
        <v>854500</v>
      </c>
      <c r="J23" s="41" t="n">
        <f aca="false">IF(INDEX(Cov_FR,MATCH(C23,Cov_Cod,0))="S",INDEX(PF_Factor,MATCH("SAG|"&amp;B23,PF_Key,0)),1)</f>
        <v>1.05</v>
      </c>
      <c r="K23" s="46" t="n">
        <f aca="false">IF(C23="HOSP_INT",los_int,IF(C23="HOSP_CIR",los_cir,0))*MAX(0,room_ref*J23-INDEX(PF_Room,MATCH("SAG|"&amp;B23,PF_Key,0)))</f>
        <v>0</v>
      </c>
      <c r="L23" s="46" t="n">
        <f aca="false">MAX(0,I23*J23-K23)</f>
        <v>897225</v>
      </c>
      <c r="M23" s="41" t="n">
        <f aca="false">f_trend</f>
        <v>1.182194</v>
      </c>
      <c r="N23" s="46" t="n">
        <f aca="false">H23*L23*M23/(1-EXP(-H23))</f>
        <v>1084738.6129859</v>
      </c>
      <c r="O23" s="47" t="n">
        <f aca="false">INDEX(Cov_CV,MATCH(C23,Cov_Cod,0))</f>
        <v>1.5</v>
      </c>
      <c r="P23" s="41" t="n">
        <f aca="false">SQRT(LN(1+O23^2))</f>
        <v>1.08565878449062</v>
      </c>
      <c r="Q23" s="41" t="n">
        <f aca="false">LN(N23)-P23^2/2</f>
        <v>13.3075221080721</v>
      </c>
      <c r="R23" s="41" t="n">
        <f aca="false">IF(G23&lt;=0,1,NORMSDIST((LN(G23)-Q23-P23^2)/P23)+G23/N23*(1-NORMSDIST((LN(G23)-Q23)/P23)))</f>
        <v>0.997424904645483</v>
      </c>
      <c r="S23" s="13" t="n">
        <f aca="false">IF(F23="—",0,H23*L23*M23*R23)</f>
        <v>47608.3180542616</v>
      </c>
      <c r="T23" s="46" t="n">
        <f aca="false">S23*sig_SAG</f>
        <v>2380.41590271308</v>
      </c>
      <c r="U23" s="13" t="n">
        <f aca="false">S23+T23</f>
        <v>49988.7339569747</v>
      </c>
      <c r="V23" s="13" t="n">
        <f aca="false">U23/(1-load_SAG)</f>
        <v>63276.8784265503</v>
      </c>
      <c r="W23" s="46" t="n">
        <f aca="false">V23*ea_SAG</f>
        <v>6327.68784265503</v>
      </c>
      <c r="X23" s="46" t="n">
        <f aca="false">V23*ec_SAG</f>
        <v>4429.38148985852</v>
      </c>
      <c r="Y23" s="46" t="n">
        <f aca="false">V23*m_SAG</f>
        <v>2531.07513706201</v>
      </c>
      <c r="Z23" s="46" t="n">
        <f aca="false">V23*tax_SAG</f>
        <v>632.768784265503</v>
      </c>
      <c r="AA23" s="19" t="n">
        <f aca="false">V23+Z23</f>
        <v>63909.6472108158</v>
      </c>
      <c r="AB23" s="41" t="n">
        <f aca="false">IF(G23&gt;0,S23/G23*1000,"n.a.")</f>
        <v>1.90433272217046</v>
      </c>
    </row>
    <row r="24" customFormat="false" ht="15" hidden="false" customHeight="false" outlineLevel="0" collapsed="false">
      <c r="A24" s="38" t="str">
        <f aca="false">B24&amp;"|"&amp;C24</f>
        <v>Quadros Médios|HOSP_CIR</v>
      </c>
      <c r="B24" s="21" t="s">
        <v>328</v>
      </c>
      <c r="C24" s="9" t="s">
        <v>139</v>
      </c>
      <c r="D24" s="38" t="str">
        <f aca="false">INDEX(Cov_Nome,MATCH(C24,Cov_Cod,0))</f>
        <v>Cirurgia (com internamento e de ambulatório)</v>
      </c>
      <c r="E24" s="38" t="str">
        <f aca="false">INDEX(Cov_Grupo,MATCH(C24,Cov_Cod,0))</f>
        <v>Principal</v>
      </c>
      <c r="F24" s="37" t="s">
        <v>296</v>
      </c>
      <c r="G24" s="35" t="n">
        <v>25000000</v>
      </c>
      <c r="H24" s="41" t="n">
        <f aca="false">INDEX(Cov_Lambda,MATCH(C24,Cov_Cod,0))</f>
        <v>0.024</v>
      </c>
      <c r="I24" s="46" t="n">
        <f aca="false">INDEX(Cov_Mu,MATCH(C24,Cov_Cod,0))</f>
        <v>2032500</v>
      </c>
      <c r="J24" s="41" t="n">
        <f aca="false">IF(INDEX(Cov_FR,MATCH(C24,Cov_Cod,0))="S",INDEX(PF_Factor,MATCH("SAG|"&amp;B24,PF_Key,0)),1)</f>
        <v>1.05</v>
      </c>
      <c r="K24" s="46" t="n">
        <f aca="false">IF(C24="HOSP_INT",los_int,IF(C24="HOSP_CIR",los_cir,0))*MAX(0,room_ref*J24-INDEX(PF_Room,MATCH("SAG|"&amp;B24,PF_Key,0)))</f>
        <v>0</v>
      </c>
      <c r="L24" s="46" t="n">
        <f aca="false">MAX(0,I24*J24-K24)</f>
        <v>2134125</v>
      </c>
      <c r="M24" s="41" t="n">
        <f aca="false">f_trend</f>
        <v>1.182194</v>
      </c>
      <c r="N24" s="46" t="n">
        <f aca="false">H24*L24*M24/(1-EXP(-H24))</f>
        <v>2553346.26791941</v>
      </c>
      <c r="O24" s="47" t="n">
        <f aca="false">INDEX(Cov_CV,MATCH(C24,Cov_Cod,0))</f>
        <v>1.3</v>
      </c>
      <c r="P24" s="41" t="n">
        <f aca="false">SQRT(LN(1+O24^2))</f>
        <v>0.994756851503797</v>
      </c>
      <c r="Q24" s="41" t="n">
        <f aca="false">LN(N24)-P24^2/2</f>
        <v>14.2581447219937</v>
      </c>
      <c r="R24" s="41" t="n">
        <f aca="false">IF(G24&lt;=0,1,NORMSDIST((LN(G24)-Q24-P24^2)/P24)+G24/N24*(1-NORMSDIST((LN(G24)-Q24)/P24)))</f>
        <v>0.989495899869634</v>
      </c>
      <c r="S24" s="13" t="n">
        <f aca="false">IF(F24="—",0,H24*L24*M24*R24)</f>
        <v>59914.7628777458</v>
      </c>
      <c r="T24" s="46" t="n">
        <f aca="false">S24*sig_SAG</f>
        <v>2995.73814388729</v>
      </c>
      <c r="U24" s="13" t="n">
        <f aca="false">S24+T24</f>
        <v>62910.5010216331</v>
      </c>
      <c r="V24" s="13" t="n">
        <f aca="false">U24/(1-load_SAG)</f>
        <v>79633.5455970039</v>
      </c>
      <c r="W24" s="46" t="n">
        <f aca="false">V24*ea_SAG</f>
        <v>7963.35455970039</v>
      </c>
      <c r="X24" s="46" t="n">
        <f aca="false">V24*ec_SAG</f>
        <v>5574.34819179027</v>
      </c>
      <c r="Y24" s="46" t="n">
        <f aca="false">V24*m_SAG</f>
        <v>3185.34182388016</v>
      </c>
      <c r="Z24" s="46" t="n">
        <f aca="false">V24*tax_SAG</f>
        <v>796.335455970039</v>
      </c>
      <c r="AA24" s="19" t="n">
        <f aca="false">V24+Z24</f>
        <v>80429.881052974</v>
      </c>
      <c r="AB24" s="41" t="n">
        <f aca="false">IF(G24&gt;0,S24/G24*1000,"n.a.")</f>
        <v>2.39659051510983</v>
      </c>
    </row>
    <row r="25" customFormat="false" ht="15" hidden="false" customHeight="false" outlineLevel="0" collapsed="false">
      <c r="A25" s="38" t="str">
        <f aca="false">B25&amp;"|"&amp;C25</f>
        <v>Quadros Médios|HOSP_UCI</v>
      </c>
      <c r="B25" s="21" t="s">
        <v>328</v>
      </c>
      <c r="C25" s="9" t="s">
        <v>143</v>
      </c>
      <c r="D25" s="38" t="str">
        <f aca="false">INDEX(Cov_Nome,MATCH(C25,Cov_Cod,0))</f>
        <v>Cuidados Intensivos (UCI)</v>
      </c>
      <c r="E25" s="38" t="str">
        <f aca="false">INDEX(Cov_Grupo,MATCH(C25,Cov_Cod,0))</f>
        <v>Principal</v>
      </c>
      <c r="F25" s="37" t="s">
        <v>296</v>
      </c>
      <c r="G25" s="48" t="n">
        <f aca="false">INDEX(PF_UCI,MATCH("SAG|"&amp;B25,PF_Key,0))</f>
        <v>8000000</v>
      </c>
      <c r="H25" s="41" t="n">
        <f aca="false">INDEX(Cov_Lambda,MATCH(C25,Cov_Cod,0))</f>
        <v>0.0035</v>
      </c>
      <c r="I25" s="46" t="n">
        <f aca="false">INDEX(Cov_Mu,MATCH(C25,Cov_Cod,0))</f>
        <v>2835000</v>
      </c>
      <c r="J25" s="41" t="n">
        <f aca="false">IF(INDEX(Cov_FR,MATCH(C25,Cov_Cod,0))="S",INDEX(PF_Factor,MATCH("SAG|"&amp;B25,PF_Key,0)),1)</f>
        <v>1.05</v>
      </c>
      <c r="K25" s="46" t="n">
        <f aca="false">IF(C25="HOSP_INT",los_int,IF(C25="HOSP_CIR",los_cir,0))*MAX(0,room_ref*J25-INDEX(PF_Room,MATCH("SAG|"&amp;B25,PF_Key,0)))</f>
        <v>0</v>
      </c>
      <c r="L25" s="46" t="n">
        <f aca="false">MAX(0,I25*J25-K25)</f>
        <v>2976750</v>
      </c>
      <c r="M25" s="41" t="n">
        <f aca="false">f_trend</f>
        <v>1.182194</v>
      </c>
      <c r="N25" s="46" t="n">
        <f aca="false">H25*L25*M25/(1-EXP(-H25))</f>
        <v>3525257.99989136</v>
      </c>
      <c r="O25" s="47" t="n">
        <f aca="false">INDEX(Cov_CV,MATCH(C25,Cov_Cod,0))</f>
        <v>1.2</v>
      </c>
      <c r="P25" s="41" t="n">
        <f aca="false">SQRT(LN(1+O25^2))</f>
        <v>0.944456478248262</v>
      </c>
      <c r="Q25" s="41" t="n">
        <f aca="false">LN(N25)-P25^2/2</f>
        <v>14.6294651633561</v>
      </c>
      <c r="R25" s="41" t="n">
        <f aca="false">IF(G25&lt;=0,1,NORMSDIST((LN(G25)-Q25-P25^2)/P25)+G25/N25*(1-NORMSDIST((LN(G25)-Q25)/P25)))</f>
        <v>0.858297849840405</v>
      </c>
      <c r="S25" s="13" t="n">
        <f aca="false">IF(F25="—",0,H25*L25*M25*R25)</f>
        <v>10571.5138240944</v>
      </c>
      <c r="T25" s="46" t="n">
        <f aca="false">S25*sig_SAG</f>
        <v>528.575691204722</v>
      </c>
      <c r="U25" s="13" t="n">
        <f aca="false">S25+T25</f>
        <v>11100.0895152992</v>
      </c>
      <c r="V25" s="13" t="n">
        <f aca="false">U25/(1-load_SAG)</f>
        <v>14050.7462218977</v>
      </c>
      <c r="W25" s="46" t="n">
        <f aca="false">V25*ea_SAG</f>
        <v>1405.07462218977</v>
      </c>
      <c r="X25" s="46" t="n">
        <f aca="false">V25*ec_SAG</f>
        <v>983.552235532837</v>
      </c>
      <c r="Y25" s="46" t="n">
        <f aca="false">V25*m_SAG</f>
        <v>562.029848875907</v>
      </c>
      <c r="Z25" s="46" t="n">
        <f aca="false">V25*tax_SAG</f>
        <v>140.507462218977</v>
      </c>
      <c r="AA25" s="19" t="n">
        <f aca="false">V25+Z25</f>
        <v>14191.2536841167</v>
      </c>
      <c r="AB25" s="41" t="n">
        <f aca="false">IF(G25&gt;0,S25/G25*1000,"n.a.")</f>
        <v>1.32143922801181</v>
      </c>
    </row>
    <row r="26" customFormat="false" ht="15" hidden="false" customHeight="false" outlineLevel="0" collapsed="false">
      <c r="A26" s="38" t="str">
        <f aca="false">B26&amp;"|"&amp;C26</f>
        <v>Quadros Médios|AMB_CONS</v>
      </c>
      <c r="B26" s="21" t="s">
        <v>328</v>
      </c>
      <c r="C26" s="9" t="s">
        <v>147</v>
      </c>
      <c r="D26" s="38" t="str">
        <f aca="false">INDEX(Cov_Nome,MATCH(C26,Cov_Cod,0))</f>
        <v>Consultas de Clínica Geral e Especialidade (incl. teleconsulta)</v>
      </c>
      <c r="E26" s="38" t="str">
        <f aca="false">INDEX(Cov_Grupo,MATCH(C26,Cov_Cod,0))</f>
        <v>Principal</v>
      </c>
      <c r="F26" s="37" t="s">
        <v>296</v>
      </c>
      <c r="G26" s="35" t="n">
        <v>5000000</v>
      </c>
      <c r="H26" s="41" t="n">
        <f aca="false">INDEX(Cov_Lambda,MATCH(C26,Cov_Cod,0))</f>
        <v>2.6</v>
      </c>
      <c r="I26" s="46" t="n">
        <f aca="false">INDEX(Cov_Mu,MATCH(C26,Cov_Cod,0))</f>
        <v>24000</v>
      </c>
      <c r="J26" s="41" t="n">
        <f aca="false">IF(INDEX(Cov_FR,MATCH(C26,Cov_Cod,0))="S",INDEX(PF_Factor,MATCH("SAG|"&amp;B26,PF_Key,0)),1)</f>
        <v>1.05</v>
      </c>
      <c r="K26" s="46" t="n">
        <f aca="false">IF(C26="HOSP_INT",los_int,IF(C26="HOSP_CIR",los_cir,0))*MAX(0,room_ref*J26-INDEX(PF_Room,MATCH("SAG|"&amp;B26,PF_Key,0)))</f>
        <v>0</v>
      </c>
      <c r="L26" s="46" t="n">
        <f aca="false">MAX(0,I26*J26-K26)</f>
        <v>25200</v>
      </c>
      <c r="M26" s="41" t="n">
        <f aca="false">f_trend</f>
        <v>1.182194</v>
      </c>
      <c r="N26" s="46" t="n">
        <f aca="false">H26*L26*M26/(1-EXP(-H26))</f>
        <v>83671.9672866091</v>
      </c>
      <c r="O26" s="47" t="n">
        <f aca="false">INDEX(Cov_CV,MATCH(C26,Cov_Cod,0))</f>
        <v>1</v>
      </c>
      <c r="P26" s="41" t="n">
        <f aca="false">SQRT(LN(1+O26^2))</f>
        <v>0.832554611157698</v>
      </c>
      <c r="Q26" s="41" t="n">
        <f aca="false">LN(N26)-P26^2/2</f>
        <v>10.9880856911823</v>
      </c>
      <c r="R26" s="41" t="n">
        <f aca="false">IF(G26&lt;=0,1,NORMSDIST((LN(G26)-Q26-P26^2)/P26)+G26/N26*(1-NORMSDIST((LN(G26)-Q26)/P26)))</f>
        <v>0.999999495713438</v>
      </c>
      <c r="S26" s="13" t="n">
        <f aca="false">IF(F26="—",0,H26*L26*M26*R26)</f>
        <v>77457.3118192988</v>
      </c>
      <c r="T26" s="46" t="n">
        <f aca="false">S26*sig_SAG</f>
        <v>3872.86559096494</v>
      </c>
      <c r="U26" s="13" t="n">
        <f aca="false">S26+T26</f>
        <v>81330.1774102637</v>
      </c>
      <c r="V26" s="13" t="n">
        <f aca="false">U26/(1-load_SAG)</f>
        <v>102949.591658562</v>
      </c>
      <c r="W26" s="46" t="n">
        <f aca="false">V26*ea_SAG</f>
        <v>10294.9591658562</v>
      </c>
      <c r="X26" s="46" t="n">
        <f aca="false">V26*ec_SAG</f>
        <v>7206.47141609932</v>
      </c>
      <c r="Y26" s="46" t="n">
        <f aca="false">V26*m_SAG</f>
        <v>4117.98366634247</v>
      </c>
      <c r="Z26" s="46" t="n">
        <f aca="false">V26*tax_SAG</f>
        <v>1029.49591658562</v>
      </c>
      <c r="AA26" s="19" t="n">
        <f aca="false">V26+Z26</f>
        <v>103979.087575147</v>
      </c>
      <c r="AB26" s="41" t="n">
        <f aca="false">IF(G26&gt;0,S26/G26*1000,"n.a.")</f>
        <v>15.4914623638598</v>
      </c>
    </row>
    <row r="27" customFormat="false" ht="15" hidden="false" customHeight="false" outlineLevel="0" collapsed="false">
      <c r="A27" s="38" t="str">
        <f aca="false">B27&amp;"|"&amp;C27</f>
        <v>Quadros Médios|AMB_MCDT</v>
      </c>
      <c r="B27" s="21" t="s">
        <v>328</v>
      </c>
      <c r="C27" s="9" t="s">
        <v>151</v>
      </c>
      <c r="D27" s="38" t="str">
        <f aca="false">INDEX(Cov_Nome,MATCH(C27,Cov_Cod,0))</f>
        <v>MCDT — Exames, Análises e Imagiologia</v>
      </c>
      <c r="E27" s="38" t="str">
        <f aca="false">INDEX(Cov_Grupo,MATCH(C27,Cov_Cod,0))</f>
        <v>Principal</v>
      </c>
      <c r="F27" s="37" t="s">
        <v>296</v>
      </c>
      <c r="G27" s="35" t="n">
        <v>5000000</v>
      </c>
      <c r="H27" s="41" t="n">
        <f aca="false">INDEX(Cov_Lambda,MATCH(C27,Cov_Cod,0))</f>
        <v>3.8</v>
      </c>
      <c r="I27" s="46" t="n">
        <f aca="false">INDEX(Cov_Mu,MATCH(C27,Cov_Cod,0))</f>
        <v>14600</v>
      </c>
      <c r="J27" s="41" t="n">
        <f aca="false">IF(INDEX(Cov_FR,MATCH(C27,Cov_Cod,0))="S",INDEX(PF_Factor,MATCH("SAG|"&amp;B27,PF_Key,0)),1)</f>
        <v>1.05</v>
      </c>
      <c r="K27" s="46" t="n">
        <f aca="false">IF(C27="HOSP_INT",los_int,IF(C27="HOSP_CIR",los_cir,0))*MAX(0,room_ref*J27-INDEX(PF_Room,MATCH("SAG|"&amp;B27,PF_Key,0)))</f>
        <v>0</v>
      </c>
      <c r="L27" s="46" t="n">
        <f aca="false">MAX(0,I27*J27-K27)</f>
        <v>15330</v>
      </c>
      <c r="M27" s="41" t="n">
        <f aca="false">f_trend</f>
        <v>1.182194</v>
      </c>
      <c r="N27" s="46" t="n">
        <f aca="false">H27*L27*M27/(1-EXP(-H27))</f>
        <v>70443.4025635205</v>
      </c>
      <c r="O27" s="47" t="n">
        <f aca="false">INDEX(Cov_CV,MATCH(C27,Cov_Cod,0))</f>
        <v>1.5</v>
      </c>
      <c r="P27" s="41" t="n">
        <f aca="false">SQRT(LN(1+O27^2))</f>
        <v>1.08565878449062</v>
      </c>
      <c r="Q27" s="41" t="n">
        <f aca="false">LN(N27)-P27^2/2</f>
        <v>10.5732373676952</v>
      </c>
      <c r="R27" s="41" t="n">
        <f aca="false">IF(G27&lt;=0,1,NORMSDIST((LN(G27)-Q27-P27^2)/P27)+G27/N27*(1-NORMSDIST((LN(G27)-Q27)/P27)))</f>
        <v>0.999920850103894</v>
      </c>
      <c r="S27" s="13" t="n">
        <f aca="false">IF(F27="—",0,H27*L27*M27*R27)</f>
        <v>68862.0784182127</v>
      </c>
      <c r="T27" s="46" t="n">
        <f aca="false">S27*sig_SAG</f>
        <v>3443.10392091063</v>
      </c>
      <c r="U27" s="13" t="n">
        <f aca="false">S27+T27</f>
        <v>72305.1823391233</v>
      </c>
      <c r="V27" s="13" t="n">
        <f aca="false">U27/(1-load_SAG)</f>
        <v>91525.5472647131</v>
      </c>
      <c r="W27" s="46" t="n">
        <f aca="false">V27*ea_SAG</f>
        <v>9152.55472647131</v>
      </c>
      <c r="X27" s="46" t="n">
        <f aca="false">V27*ec_SAG</f>
        <v>6406.78830852992</v>
      </c>
      <c r="Y27" s="46" t="n">
        <f aca="false">V27*m_SAG</f>
        <v>3661.02189058852</v>
      </c>
      <c r="Z27" s="46" t="n">
        <f aca="false">V27*tax_SAG</f>
        <v>915.255472647131</v>
      </c>
      <c r="AA27" s="19" t="n">
        <f aca="false">V27+Z27</f>
        <v>92440.8027373602</v>
      </c>
      <c r="AB27" s="41" t="n">
        <f aca="false">IF(G27&gt;0,S27/G27*1000,"n.a.")</f>
        <v>13.7724156836425</v>
      </c>
    </row>
    <row r="28" customFormat="false" ht="15" hidden="false" customHeight="false" outlineLevel="0" collapsed="false">
      <c r="A28" s="38" t="str">
        <f aca="false">B28&amp;"|"&amp;C28</f>
        <v>Quadros Médios|MAL</v>
      </c>
      <c r="B28" s="21" t="s">
        <v>328</v>
      </c>
      <c r="C28" s="9" t="s">
        <v>155</v>
      </c>
      <c r="D28" s="38" t="str">
        <f aca="false">INDEX(Cov_Nome,MATCH(C28,Cov_Cod,0))</f>
        <v>Malária e Doenças Endémicas (ambulatório)</v>
      </c>
      <c r="E28" s="38" t="str">
        <f aca="false">INDEX(Cov_Grupo,MATCH(C28,Cov_Cod,0))</f>
        <v>Principal</v>
      </c>
      <c r="F28" s="37" t="s">
        <v>296</v>
      </c>
      <c r="G28" s="35" t="n">
        <v>5000000</v>
      </c>
      <c r="H28" s="41" t="n">
        <f aca="false">INDEX(Cov_Lambda,MATCH(C28,Cov_Cod,0))</f>
        <v>0.3</v>
      </c>
      <c r="I28" s="46" t="n">
        <f aca="false">INDEX(Cov_Mu,MATCH(C28,Cov_Cod,0))</f>
        <v>36500</v>
      </c>
      <c r="J28" s="41" t="n">
        <f aca="false">IF(INDEX(Cov_FR,MATCH(C28,Cov_Cod,0))="S",INDEX(PF_Factor,MATCH("SAG|"&amp;B28,PF_Key,0)),1)</f>
        <v>1.05</v>
      </c>
      <c r="K28" s="46" t="n">
        <f aca="false">IF(C28="HOSP_INT",los_int,IF(C28="HOSP_CIR",los_cir,0))*MAX(0,room_ref*J28-INDEX(PF_Room,MATCH("SAG|"&amp;B28,PF_Key,0)))</f>
        <v>0</v>
      </c>
      <c r="L28" s="46" t="n">
        <f aca="false">MAX(0,I28*J28-K28)</f>
        <v>38325</v>
      </c>
      <c r="M28" s="41" t="n">
        <f aca="false">f_trend</f>
        <v>1.182194</v>
      </c>
      <c r="N28" s="46" t="n">
        <f aca="false">H28*L28*M28/(1-EXP(-H28))</f>
        <v>52443.0210748276</v>
      </c>
      <c r="O28" s="47" t="n">
        <f aca="false">INDEX(Cov_CV,MATCH(C28,Cov_Cod,0))</f>
        <v>0.8</v>
      </c>
      <c r="P28" s="41" t="n">
        <f aca="false">SQRT(LN(1+O28^2))</f>
        <v>0.703346459318668</v>
      </c>
      <c r="Q28" s="41" t="n">
        <f aca="false">LN(N28)-P28^2/2</f>
        <v>10.6201344254228</v>
      </c>
      <c r="R28" s="41" t="n">
        <f aca="false">IF(G28&lt;=0,1,NORMSDIST((LN(G28)-Q28-P28^2)/P28)+G28/N28*(1-NORMSDIST((LN(G28)-Q28)/P28)))</f>
        <v>0.999999999956062</v>
      </c>
      <c r="S28" s="13" t="n">
        <f aca="false">IF(F28="—",0,H28*L28*M28*R28)</f>
        <v>13592.2755144028</v>
      </c>
      <c r="T28" s="46" t="n">
        <f aca="false">S28*sig_SAG</f>
        <v>679.613775720139</v>
      </c>
      <c r="U28" s="13" t="n">
        <f aca="false">S28+T28</f>
        <v>14271.8892901229</v>
      </c>
      <c r="V28" s="13" t="n">
        <f aca="false">U28/(1-load_SAG)</f>
        <v>18065.6826457252</v>
      </c>
      <c r="W28" s="46" t="n">
        <f aca="false">V28*ea_SAG</f>
        <v>1806.56826457252</v>
      </c>
      <c r="X28" s="46" t="n">
        <f aca="false">V28*ec_SAG</f>
        <v>1264.59778520076</v>
      </c>
      <c r="Y28" s="46" t="n">
        <f aca="false">V28*m_SAG</f>
        <v>722.627305829008</v>
      </c>
      <c r="Z28" s="46" t="n">
        <f aca="false">V28*tax_SAG</f>
        <v>180.656826457252</v>
      </c>
      <c r="AA28" s="19" t="n">
        <f aca="false">V28+Z28</f>
        <v>18246.3394721825</v>
      </c>
      <c r="AB28" s="41" t="n">
        <f aca="false">IF(G28&gt;0,S28/G28*1000,"n.a.")</f>
        <v>2.71845510288056</v>
      </c>
    </row>
    <row r="29" customFormat="false" ht="15" hidden="false" customHeight="false" outlineLevel="0" collapsed="false">
      <c r="A29" s="38" t="str">
        <f aca="false">B29&amp;"|"&amp;C29</f>
        <v>Quadros Médios|MAT</v>
      </c>
      <c r="B29" s="21" t="s">
        <v>328</v>
      </c>
      <c r="C29" s="9" t="s">
        <v>159</v>
      </c>
      <c r="D29" s="38" t="str">
        <f aca="false">INDEX(Cov_Nome,MATCH(C29,Cov_Cod,0))</f>
        <v>Maternidade e Parto (Normal e Cesariana)</v>
      </c>
      <c r="E29" s="38" t="str">
        <f aca="false">INDEX(Cov_Grupo,MATCH(C29,Cov_Cod,0))</f>
        <v>Principal</v>
      </c>
      <c r="F29" s="37" t="s">
        <v>296</v>
      </c>
      <c r="G29" s="35" t="n">
        <v>1500000</v>
      </c>
      <c r="H29" s="41" t="n">
        <f aca="false">INDEX(Cov_Lambda,MATCH(C29,Cov_Cod,0))</f>
        <v>0.075</v>
      </c>
      <c r="I29" s="46" t="n">
        <f aca="false">INDEX(Cov_Mu,MATCH(C29,Cov_Cod,0))</f>
        <v>885640</v>
      </c>
      <c r="J29" s="41" t="n">
        <f aca="false">IF(INDEX(Cov_FR,MATCH(C29,Cov_Cod,0))="S",INDEX(PF_Factor,MATCH("SAG|"&amp;B29,PF_Key,0)),1)</f>
        <v>1.05</v>
      </c>
      <c r="K29" s="46" t="n">
        <f aca="false">IF(C29="HOSP_INT",los_int,IF(C29="HOSP_CIR",los_cir,0))*MAX(0,room_ref*J29-INDEX(PF_Room,MATCH("SAG|"&amp;B29,PF_Key,0)))</f>
        <v>0</v>
      </c>
      <c r="L29" s="46" t="n">
        <f aca="false">MAX(0,I29*J29-K29)</f>
        <v>929922</v>
      </c>
      <c r="M29" s="41" t="n">
        <f aca="false">f_trend</f>
        <v>1.182194</v>
      </c>
      <c r="N29" s="46" t="n">
        <f aca="false">H29*L29*M29/(1-EXP(-H29))</f>
        <v>1141089.03786872</v>
      </c>
      <c r="O29" s="47" t="n">
        <f aca="false">INDEX(Cov_CV,MATCH(C29,Cov_Cod,0))</f>
        <v>0.5</v>
      </c>
      <c r="P29" s="41" t="n">
        <f aca="false">SQRT(LN(1+O29^2))</f>
        <v>0.472380727077439</v>
      </c>
      <c r="Q29" s="41" t="n">
        <f aca="false">LN(N29)-P29^2/2</f>
        <v>13.8359218850845</v>
      </c>
      <c r="R29" s="41" t="n">
        <f aca="false">IF(G29&lt;=0,1,NORMSDIST((LN(G29)-Q29-P29^2)/P29)+G29/N29*(1-NORMSDIST((LN(G29)-Q29)/P29)))</f>
        <v>0.906870818554757</v>
      </c>
      <c r="S29" s="13" t="n">
        <f aca="false">IF(F29="—",0,H29*L29*M29*R29)</f>
        <v>74772.5107539622</v>
      </c>
      <c r="T29" s="46" t="n">
        <f aca="false">S29*sig_SAG</f>
        <v>3738.62553769811</v>
      </c>
      <c r="U29" s="13" t="n">
        <f aca="false">S29+T29</f>
        <v>78511.1362916603</v>
      </c>
      <c r="V29" s="13" t="n">
        <f aca="false">U29/(1-load_SAG)</f>
        <v>99381.1851793168</v>
      </c>
      <c r="W29" s="46" t="n">
        <f aca="false">V29*ea_SAG</f>
        <v>9938.11851793168</v>
      </c>
      <c r="X29" s="46" t="n">
        <f aca="false">V29*ec_SAG</f>
        <v>6956.68296255218</v>
      </c>
      <c r="Y29" s="46" t="n">
        <f aca="false">V29*m_SAG</f>
        <v>3975.24740717267</v>
      </c>
      <c r="Z29" s="46" t="n">
        <f aca="false">V29*tax_SAG</f>
        <v>993.811851793168</v>
      </c>
      <c r="AA29" s="19" t="n">
        <f aca="false">V29+Z29</f>
        <v>100374.99703111</v>
      </c>
      <c r="AB29" s="41" t="n">
        <f aca="false">IF(G29&gt;0,S29/G29*1000,"n.a.")</f>
        <v>49.8483405026414</v>
      </c>
    </row>
    <row r="30" customFormat="false" ht="15" hidden="false" customHeight="false" outlineLevel="0" collapsed="false">
      <c r="A30" s="38" t="str">
        <f aca="false">B30&amp;"|"&amp;C30</f>
        <v>Quadros Médios|URG</v>
      </c>
      <c r="B30" s="21" t="s">
        <v>328</v>
      </c>
      <c r="C30" s="9" t="s">
        <v>164</v>
      </c>
      <c r="D30" s="38" t="str">
        <f aca="false">INDEX(Cov_Nome,MATCH(C30,Cov_Cod,0))</f>
        <v>Urgência Hospitalar</v>
      </c>
      <c r="E30" s="38" t="str">
        <f aca="false">INDEX(Cov_Grupo,MATCH(C30,Cov_Cod,0))</f>
        <v>Principal</v>
      </c>
      <c r="F30" s="37" t="s">
        <v>296</v>
      </c>
      <c r="G30" s="35" t="n">
        <v>800000</v>
      </c>
      <c r="H30" s="41" t="n">
        <f aca="false">INDEX(Cov_Lambda,MATCH(C30,Cov_Cod,0))</f>
        <v>0.42</v>
      </c>
      <c r="I30" s="46" t="n">
        <f aca="false">INDEX(Cov_Mu,MATCH(C30,Cov_Cod,0))</f>
        <v>43300</v>
      </c>
      <c r="J30" s="41" t="n">
        <f aca="false">IF(INDEX(Cov_FR,MATCH(C30,Cov_Cod,0))="S",INDEX(PF_Factor,MATCH("SAG|"&amp;B30,PF_Key,0)),1)</f>
        <v>1.05</v>
      </c>
      <c r="K30" s="46" t="n">
        <f aca="false">IF(C30="HOSP_INT",los_int,IF(C30="HOSP_CIR",los_cir,0))*MAX(0,room_ref*J30-INDEX(PF_Room,MATCH("SAG|"&amp;B30,PF_Key,0)))</f>
        <v>0</v>
      </c>
      <c r="L30" s="46" t="n">
        <f aca="false">MAX(0,I30*J30-K30)</f>
        <v>45465</v>
      </c>
      <c r="M30" s="41" t="n">
        <f aca="false">f_trend</f>
        <v>1.182194</v>
      </c>
      <c r="N30" s="46" t="n">
        <f aca="false">H30*L30*M30/(1-EXP(-H30))</f>
        <v>65823.413785014</v>
      </c>
      <c r="O30" s="47" t="n">
        <f aca="false">INDEX(Cov_CV,MATCH(C30,Cov_Cod,0))</f>
        <v>1</v>
      </c>
      <c r="P30" s="41" t="n">
        <f aca="false">SQRT(LN(1+O30^2))</f>
        <v>0.832554611157698</v>
      </c>
      <c r="Q30" s="41" t="n">
        <f aca="false">LN(N30)-P30^2/2</f>
        <v>10.748157296339</v>
      </c>
      <c r="R30" s="41" t="n">
        <f aca="false">IF(G30&lt;=0,1,NORMSDIST((LN(G30)-Q30-P30^2)/P30)+G30/N30*(1-NORMSDIST((LN(G30)-Q30)/P30)))</f>
        <v>0.998970793232571</v>
      </c>
      <c r="S30" s="13" t="n">
        <f aca="false">IF(F30="—",0,H30*L30*M30*R30)</f>
        <v>22551.1154153481</v>
      </c>
      <c r="T30" s="46" t="n">
        <f aca="false">S30*sig_SAG</f>
        <v>1127.55577076741</v>
      </c>
      <c r="U30" s="13" t="n">
        <f aca="false">S30+T30</f>
        <v>23678.6711861155</v>
      </c>
      <c r="V30" s="13" t="n">
        <f aca="false">U30/(1-load_SAG)</f>
        <v>29973.001501412</v>
      </c>
      <c r="W30" s="46" t="n">
        <f aca="false">V30*ea_SAG</f>
        <v>2997.3001501412</v>
      </c>
      <c r="X30" s="46" t="n">
        <f aca="false">V30*ec_SAG</f>
        <v>2098.11010509884</v>
      </c>
      <c r="Y30" s="46" t="n">
        <f aca="false">V30*m_SAG</f>
        <v>1198.92006005648</v>
      </c>
      <c r="Z30" s="46" t="n">
        <f aca="false">V30*tax_SAG</f>
        <v>299.73001501412</v>
      </c>
      <c r="AA30" s="19" t="n">
        <f aca="false">V30+Z30</f>
        <v>30272.7315164262</v>
      </c>
      <c r="AB30" s="41" t="n">
        <f aca="false">IF(G30&gt;0,S30/G30*1000,"n.a.")</f>
        <v>28.1888942691851</v>
      </c>
    </row>
    <row r="31" customFormat="false" ht="15" hidden="false" customHeight="false" outlineLevel="0" collapsed="false">
      <c r="A31" s="38" t="str">
        <f aca="false">B31&amp;"|"&amp;C31</f>
        <v>Quadros Médios|AMBUL</v>
      </c>
      <c r="B31" s="21" t="s">
        <v>328</v>
      </c>
      <c r="C31" s="9" t="s">
        <v>167</v>
      </c>
      <c r="D31" s="38" t="str">
        <f aca="false">INDEX(Cov_Nome,MATCH(C31,Cov_Cod,0))</f>
        <v>Transporte em Ambulância / Emergência Médica</v>
      </c>
      <c r="E31" s="38" t="str">
        <f aca="false">INDEX(Cov_Grupo,MATCH(C31,Cov_Cod,0))</f>
        <v>Principal</v>
      </c>
      <c r="F31" s="37" t="s">
        <v>296</v>
      </c>
      <c r="G31" s="35" t="n">
        <v>400000</v>
      </c>
      <c r="H31" s="41" t="n">
        <f aca="false">INDEX(Cov_Lambda,MATCH(C31,Cov_Cod,0))</f>
        <v>0.018</v>
      </c>
      <c r="I31" s="46" t="n">
        <f aca="false">INDEX(Cov_Mu,MATCH(C31,Cov_Cod,0))</f>
        <v>76000</v>
      </c>
      <c r="J31" s="41" t="n">
        <f aca="false">IF(INDEX(Cov_FR,MATCH(C31,Cov_Cod,0))="S",INDEX(PF_Factor,MATCH("SAG|"&amp;B31,PF_Key,0)),1)</f>
        <v>1</v>
      </c>
      <c r="K31" s="46" t="n">
        <f aca="false">IF(C31="HOSP_INT",los_int,IF(C31="HOSP_CIR",los_cir,0))*MAX(0,room_ref*J31-INDEX(PF_Room,MATCH("SAG|"&amp;B31,PF_Key,0)))</f>
        <v>0</v>
      </c>
      <c r="L31" s="46" t="n">
        <f aca="false">MAX(0,I31*J31-K31)</f>
        <v>76000</v>
      </c>
      <c r="M31" s="41" t="n">
        <f aca="false">f_trend</f>
        <v>1.182194</v>
      </c>
      <c r="N31" s="46" t="n">
        <f aca="false">H31*L31*M31/(1-EXP(-H31))</f>
        <v>90657.7905449887</v>
      </c>
      <c r="O31" s="47" t="n">
        <f aca="false">INDEX(Cov_CV,MATCH(C31,Cov_Cod,0))</f>
        <v>0.6</v>
      </c>
      <c r="P31" s="41" t="n">
        <f aca="false">SQRT(LN(1+O31^2))</f>
        <v>0.554513029376191</v>
      </c>
      <c r="Q31" s="41" t="n">
        <f aca="false">LN(N31)-P31^2/2</f>
        <v>11.2611048035428</v>
      </c>
      <c r="R31" s="41" t="n">
        <f aca="false">IF(G31&lt;=0,1,NORMSDIST((LN(G31)-Q31-P31^2)/P31)+G31/N31*(1-NORMSDIST((LN(G31)-Q31)/P31)))</f>
        <v>0.998711145406585</v>
      </c>
      <c r="S31" s="13" t="n">
        <f aca="false">IF(F31="—",0,H31*L31*M31*R31)</f>
        <v>1615.15700300326</v>
      </c>
      <c r="T31" s="46" t="n">
        <f aca="false">S31*sig_SAG</f>
        <v>80.757850150163</v>
      </c>
      <c r="U31" s="13" t="n">
        <f aca="false">S31+T31</f>
        <v>1695.91485315342</v>
      </c>
      <c r="V31" s="13" t="n">
        <f aca="false">U31/(1-load_SAG)</f>
        <v>2146.72766221952</v>
      </c>
      <c r="W31" s="46" t="n">
        <f aca="false">V31*ea_SAG</f>
        <v>214.672766221952</v>
      </c>
      <c r="X31" s="46" t="n">
        <f aca="false">V31*ec_SAG</f>
        <v>150.270936355367</v>
      </c>
      <c r="Y31" s="46" t="n">
        <f aca="false">V31*m_SAG</f>
        <v>85.8691064887809</v>
      </c>
      <c r="Z31" s="46" t="n">
        <f aca="false">V31*tax_SAG</f>
        <v>21.4672766221952</v>
      </c>
      <c r="AA31" s="19" t="n">
        <f aca="false">V31+Z31</f>
        <v>2168.19493884172</v>
      </c>
      <c r="AB31" s="41" t="n">
        <f aca="false">IF(G31&gt;0,S31/G31*1000,"n.a.")</f>
        <v>4.03789250750815</v>
      </c>
    </row>
    <row r="32" customFormat="false" ht="15" hidden="false" customHeight="false" outlineLevel="0" collapsed="false">
      <c r="A32" s="38" t="str">
        <f aca="false">B32&amp;"|"&amp;C32</f>
        <v>Quadros Médios|MED</v>
      </c>
      <c r="B32" s="21" t="s">
        <v>328</v>
      </c>
      <c r="C32" s="9" t="s">
        <v>172</v>
      </c>
      <c r="D32" s="38" t="str">
        <f aca="false">INDEX(Cov_Nome,MATCH(C32,Cov_Cod,0))</f>
        <v>Medicamentos em Ambulatório (Farmácia)</v>
      </c>
      <c r="E32" s="38" t="str">
        <f aca="false">INDEX(Cov_Grupo,MATCH(C32,Cov_Cod,0))</f>
        <v>Principal</v>
      </c>
      <c r="F32" s="37" t="s">
        <v>297</v>
      </c>
      <c r="G32" s="35" t="n">
        <v>750000</v>
      </c>
      <c r="H32" s="41" t="n">
        <f aca="false">INDEX(Cov_Lambda,MATCH(C32,Cov_Cod,0))</f>
        <v>3.4</v>
      </c>
      <c r="I32" s="46" t="n">
        <f aca="false">INDEX(Cov_Mu,MATCH(C32,Cov_Cod,0))</f>
        <v>17400</v>
      </c>
      <c r="J32" s="41" t="n">
        <f aca="false">IF(INDEX(Cov_FR,MATCH(C32,Cov_Cod,0))="S",INDEX(PF_Factor,MATCH("SAG|"&amp;B32,PF_Key,0)),1)</f>
        <v>1</v>
      </c>
      <c r="K32" s="46" t="n">
        <f aca="false">IF(C32="HOSP_INT",los_int,IF(C32="HOSP_CIR",los_cir,0))*MAX(0,room_ref*J32-INDEX(PF_Room,MATCH("SAG|"&amp;B32,PF_Key,0)))</f>
        <v>0</v>
      </c>
      <c r="L32" s="46" t="n">
        <f aca="false">MAX(0,I32*J32-K32)</f>
        <v>17400</v>
      </c>
      <c r="M32" s="41" t="n">
        <f aca="false">f_trend</f>
        <v>1.182194</v>
      </c>
      <c r="N32" s="46" t="n">
        <f aca="false">H32*L32*M32/(1-EXP(-H32))</f>
        <v>72353.2619847265</v>
      </c>
      <c r="O32" s="47" t="n">
        <f aca="false">INDEX(Cov_CV,MATCH(C32,Cov_Cod,0))</f>
        <v>1.2</v>
      </c>
      <c r="P32" s="41" t="n">
        <f aca="false">SQRT(LN(1+O32^2))</f>
        <v>0.944456478248262</v>
      </c>
      <c r="Q32" s="41" t="n">
        <f aca="false">LN(N32)-P32^2/2</f>
        <v>10.7433167975652</v>
      </c>
      <c r="R32" s="41" t="n">
        <f aca="false">IF(G32&lt;=0,1,NORMSDIST((LN(G32)-Q32-P32^2)/P32)+G32/N32*(1-NORMSDIST((LN(G32)-Q32)/P32)))</f>
        <v>0.994017355183026</v>
      </c>
      <c r="S32" s="13" t="n">
        <f aca="false">IF(F32="—",0,H32*L32*M32*R32)</f>
        <v>69520.1792549122</v>
      </c>
      <c r="T32" s="46" t="n">
        <f aca="false">S32*sig_SAG</f>
        <v>3476.00896274561</v>
      </c>
      <c r="U32" s="13" t="n">
        <f aca="false">S32+T32</f>
        <v>72996.1882176578</v>
      </c>
      <c r="V32" s="13" t="n">
        <f aca="false">U32/(1-load_SAG)</f>
        <v>92400.2382501997</v>
      </c>
      <c r="W32" s="46" t="n">
        <f aca="false">V32*ea_SAG</f>
        <v>9240.02382501997</v>
      </c>
      <c r="X32" s="46" t="n">
        <f aca="false">V32*ec_SAG</f>
        <v>6468.01667751398</v>
      </c>
      <c r="Y32" s="46" t="n">
        <f aca="false">V32*m_SAG</f>
        <v>3696.00953000799</v>
      </c>
      <c r="Z32" s="46" t="n">
        <f aca="false">V32*tax_SAG</f>
        <v>924.002382501997</v>
      </c>
      <c r="AA32" s="19" t="n">
        <f aca="false">V32+Z32</f>
        <v>93324.2406327017</v>
      </c>
      <c r="AB32" s="41" t="n">
        <f aca="false">IF(G32&gt;0,S32/G32*1000,"n.a.")</f>
        <v>92.6935723398829</v>
      </c>
    </row>
    <row r="33" customFormat="false" ht="15" hidden="false" customHeight="false" outlineLevel="0" collapsed="false">
      <c r="A33" s="38" t="str">
        <f aca="false">B33&amp;"|"&amp;C33</f>
        <v>Quadros Médios|DENT</v>
      </c>
      <c r="B33" s="21" t="s">
        <v>328</v>
      </c>
      <c r="C33" s="9" t="s">
        <v>176</v>
      </c>
      <c r="D33" s="38" t="str">
        <f aca="false">INDEX(Cov_Nome,MATCH(C33,Cov_Cod,0))</f>
        <v>Estomatologia (tratamentos)</v>
      </c>
      <c r="E33" s="38" t="str">
        <f aca="false">INDEX(Cov_Grupo,MATCH(C33,Cov_Cod,0))</f>
        <v>Extensão</v>
      </c>
      <c r="F33" s="37" t="s">
        <v>297</v>
      </c>
      <c r="G33" s="35" t="n">
        <v>500000</v>
      </c>
      <c r="H33" s="41" t="n">
        <f aca="false">INDEX(Cov_Lambda,MATCH(C33,Cov_Cod,0))</f>
        <v>0.85</v>
      </c>
      <c r="I33" s="46" t="n">
        <f aca="false">INDEX(Cov_Mu,MATCH(C33,Cov_Cod,0))</f>
        <v>34500</v>
      </c>
      <c r="J33" s="41" t="n">
        <f aca="false">IF(INDEX(Cov_FR,MATCH(C33,Cov_Cod,0))="S",INDEX(PF_Factor,MATCH("SAG|"&amp;B33,PF_Key,0)),1)</f>
        <v>1.05</v>
      </c>
      <c r="K33" s="46" t="n">
        <f aca="false">IF(C33="HOSP_INT",los_int,IF(C33="HOSP_CIR",los_cir,0))*MAX(0,room_ref*J33-INDEX(PF_Room,MATCH("SAG|"&amp;B33,PF_Key,0)))</f>
        <v>0</v>
      </c>
      <c r="L33" s="46" t="n">
        <f aca="false">MAX(0,I33*J33-K33)</f>
        <v>36225</v>
      </c>
      <c r="M33" s="41" t="n">
        <f aca="false">f_trend</f>
        <v>1.182194</v>
      </c>
      <c r="N33" s="46" t="n">
        <f aca="false">H33*L33*M33/(1-EXP(-H33))</f>
        <v>63573.4898333751</v>
      </c>
      <c r="O33" s="47" t="n">
        <f aca="false">INDEX(Cov_CV,MATCH(C33,Cov_Cod,0))</f>
        <v>1</v>
      </c>
      <c r="P33" s="41" t="n">
        <f aca="false">SQRT(LN(1+O33^2))</f>
        <v>0.832554611157698</v>
      </c>
      <c r="Q33" s="41" t="n">
        <f aca="false">LN(N33)-P33^2/2</f>
        <v>10.7133782456327</v>
      </c>
      <c r="R33" s="41" t="n">
        <f aca="false">IF(G33&lt;=0,1,NORMSDIST((LN(G33)-Q33-P33^2)/P33)+G33/N33*(1-NORMSDIST((LN(G33)-Q33)/P33)))</f>
        <v>0.995327524051332</v>
      </c>
      <c r="S33" s="13" t="n">
        <f aca="false">IF(F33="—",0,H33*L33*M33*R33)</f>
        <v>36231.1471261389</v>
      </c>
      <c r="T33" s="46" t="n">
        <f aca="false">S33*sig_SAG</f>
        <v>1811.55735630695</v>
      </c>
      <c r="U33" s="13" t="n">
        <f aca="false">S33+T33</f>
        <v>38042.7044824459</v>
      </c>
      <c r="V33" s="13" t="n">
        <f aca="false">U33/(1-load_SAG)</f>
        <v>48155.3221296783</v>
      </c>
      <c r="W33" s="46" t="n">
        <f aca="false">V33*ea_SAG</f>
        <v>4815.53221296783</v>
      </c>
      <c r="X33" s="46" t="n">
        <f aca="false">V33*ec_SAG</f>
        <v>3370.87254907748</v>
      </c>
      <c r="Y33" s="46" t="n">
        <f aca="false">V33*m_SAG</f>
        <v>1926.21288518713</v>
      </c>
      <c r="Z33" s="46" t="n">
        <f aca="false">V33*tax_SAG</f>
        <v>481.553221296783</v>
      </c>
      <c r="AA33" s="19" t="n">
        <f aca="false">V33+Z33</f>
        <v>48636.8753509751</v>
      </c>
      <c r="AB33" s="41" t="n">
        <f aca="false">IF(G33&gt;0,S33/G33*1000,"n.a.")</f>
        <v>72.4622942522778</v>
      </c>
    </row>
    <row r="34" customFormat="false" ht="15" hidden="false" customHeight="false" outlineLevel="0" collapsed="false">
      <c r="A34" s="38" t="str">
        <f aca="false">B34&amp;"|"&amp;C34</f>
        <v>Quadros Médios|PROT</v>
      </c>
      <c r="B34" s="21" t="s">
        <v>328</v>
      </c>
      <c r="C34" s="9" t="s">
        <v>180</v>
      </c>
      <c r="D34" s="38" t="str">
        <f aca="false">INDEX(Cov_Nome,MATCH(C34,Cov_Cod,0))</f>
        <v>Próteses Dentárias</v>
      </c>
      <c r="E34" s="38" t="str">
        <f aca="false">INDEX(Cov_Grupo,MATCH(C34,Cov_Cod,0))</f>
        <v>Extensão</v>
      </c>
      <c r="F34" s="37" t="s">
        <v>297</v>
      </c>
      <c r="G34" s="35" t="n">
        <v>250000</v>
      </c>
      <c r="H34" s="41" t="n">
        <f aca="false">INDEX(Cov_Lambda,MATCH(C34,Cov_Cod,0))</f>
        <v>0.02</v>
      </c>
      <c r="I34" s="46" t="n">
        <f aca="false">INDEX(Cov_Mu,MATCH(C34,Cov_Cod,0))</f>
        <v>304000</v>
      </c>
      <c r="J34" s="41" t="n">
        <f aca="false">IF(INDEX(Cov_FR,MATCH(C34,Cov_Cod,0))="S",INDEX(PF_Factor,MATCH("SAG|"&amp;B34,PF_Key,0)),1)</f>
        <v>1</v>
      </c>
      <c r="K34" s="46" t="n">
        <f aca="false">IF(C34="HOSP_INT",los_int,IF(C34="HOSP_CIR",los_cir,0))*MAX(0,room_ref*J34-INDEX(PF_Room,MATCH("SAG|"&amp;B34,PF_Key,0)))</f>
        <v>0</v>
      </c>
      <c r="L34" s="46" t="n">
        <f aca="false">MAX(0,I34*J34-K34)</f>
        <v>304000</v>
      </c>
      <c r="M34" s="41" t="n">
        <f aca="false">f_trend</f>
        <v>1.182194</v>
      </c>
      <c r="N34" s="46" t="n">
        <f aca="false">H34*L34*M34/(1-EXP(-H34))</f>
        <v>362992.825246003</v>
      </c>
      <c r="O34" s="47" t="n">
        <f aca="false">INDEX(Cov_CV,MATCH(C34,Cov_Cod,0))</f>
        <v>0.7</v>
      </c>
      <c r="P34" s="41" t="n">
        <f aca="false">SQRT(LN(1+O34^2))</f>
        <v>0.631487228657372</v>
      </c>
      <c r="Q34" s="41" t="n">
        <f aca="false">LN(N34)-P34^2/2</f>
        <v>12.6027502879104</v>
      </c>
      <c r="R34" s="41" t="n">
        <f aca="false">IF(G34&lt;=0,1,NORMSDIST((LN(G34)-Q34-P34^2)/P34)+G34/N34*(1-NORMSDIST((LN(G34)-Q34)/P34)))</f>
        <v>0.601315526204424</v>
      </c>
      <c r="S34" s="13" t="n">
        <f aca="false">IF(F34="—",0,H34*L34*M34*R34)</f>
        <v>4322.09937168913</v>
      </c>
      <c r="T34" s="46" t="n">
        <f aca="false">S34*sig_SAG</f>
        <v>216.104968584457</v>
      </c>
      <c r="U34" s="13" t="n">
        <f aca="false">S34+T34</f>
        <v>4538.20434027359</v>
      </c>
      <c r="V34" s="13" t="n">
        <f aca="false">U34/(1-load_SAG)</f>
        <v>5744.56245604252</v>
      </c>
      <c r="W34" s="46" t="n">
        <f aca="false">V34*ea_SAG</f>
        <v>574.456245604252</v>
      </c>
      <c r="X34" s="46" t="n">
        <f aca="false">V34*ec_SAG</f>
        <v>402.119371922976</v>
      </c>
      <c r="Y34" s="46" t="n">
        <f aca="false">V34*m_SAG</f>
        <v>229.782498241701</v>
      </c>
      <c r="Z34" s="46" t="n">
        <f aca="false">V34*tax_SAG</f>
        <v>57.4456245604252</v>
      </c>
      <c r="AA34" s="19" t="n">
        <f aca="false">V34+Z34</f>
        <v>5802.00808060294</v>
      </c>
      <c r="AB34" s="41" t="n">
        <f aca="false">IF(G34&gt;0,S34/G34*1000,"n.a.")</f>
        <v>17.2883974867565</v>
      </c>
    </row>
    <row r="35" customFormat="false" ht="15" hidden="false" customHeight="false" outlineLevel="0" collapsed="false">
      <c r="A35" s="38" t="str">
        <f aca="false">B35&amp;"|"&amp;C35</f>
        <v>Quadros Médios|OPT</v>
      </c>
      <c r="B35" s="21" t="s">
        <v>328</v>
      </c>
      <c r="C35" s="9" t="s">
        <v>184</v>
      </c>
      <c r="D35" s="38" t="str">
        <f aca="false">INDEX(Cov_Nome,MATCH(C35,Cov_Cod,0))</f>
        <v>Óptica — Lentes e Armações</v>
      </c>
      <c r="E35" s="38" t="str">
        <f aca="false">INDEX(Cov_Grupo,MATCH(C35,Cov_Cod,0))</f>
        <v>Extensão</v>
      </c>
      <c r="F35" s="37" t="s">
        <v>297</v>
      </c>
      <c r="G35" s="35" t="n">
        <v>200000</v>
      </c>
      <c r="H35" s="41" t="n">
        <f aca="false">INDEX(Cov_Lambda,MATCH(C35,Cov_Cod,0))</f>
        <v>0.22</v>
      </c>
      <c r="I35" s="46" t="n">
        <f aca="false">INDEX(Cov_Mu,MATCH(C35,Cov_Cod,0))</f>
        <v>102500</v>
      </c>
      <c r="J35" s="41" t="n">
        <f aca="false">IF(INDEX(Cov_FR,MATCH(C35,Cov_Cod,0))="S",INDEX(PF_Factor,MATCH("SAG|"&amp;B35,PF_Key,0)),1)</f>
        <v>1</v>
      </c>
      <c r="K35" s="46" t="n">
        <f aca="false">IF(C35="HOSP_INT",los_int,IF(C35="HOSP_CIR",los_cir,0))*MAX(0,room_ref*J35-INDEX(PF_Room,MATCH("SAG|"&amp;B35,PF_Key,0)))</f>
        <v>0</v>
      </c>
      <c r="L35" s="46" t="n">
        <f aca="false">MAX(0,I35*J35-K35)</f>
        <v>102500</v>
      </c>
      <c r="M35" s="41" t="n">
        <f aca="false">f_trend</f>
        <v>1.182194</v>
      </c>
      <c r="N35" s="46" t="n">
        <f aca="false">H35*L35*M35/(1-EXP(-H35))</f>
        <v>134992.467257389</v>
      </c>
      <c r="O35" s="47" t="n">
        <f aca="false">INDEX(Cov_CV,MATCH(C35,Cov_Cod,0))</f>
        <v>0.5</v>
      </c>
      <c r="P35" s="41" t="n">
        <f aca="false">SQRT(LN(1+O35^2))</f>
        <v>0.472380727077439</v>
      </c>
      <c r="Q35" s="41" t="n">
        <f aca="false">LN(N35)-P35^2/2</f>
        <v>11.7014024821133</v>
      </c>
      <c r="R35" s="41" t="n">
        <f aca="false">IF(G35&lt;=0,1,NORMSDIST((LN(G35)-Q35-P35^2)/P35)+G35/N35*(1-NORMSDIST((LN(G35)-Q35)/P35)))</f>
        <v>0.935793668001571</v>
      </c>
      <c r="S35" s="13" t="n">
        <f aca="false">IF(F35="—",0,H35*L35*M35*R35)</f>
        <v>24946.8318228401</v>
      </c>
      <c r="T35" s="46" t="n">
        <f aca="false">S35*sig_SAG</f>
        <v>1247.341591142</v>
      </c>
      <c r="U35" s="13" t="n">
        <f aca="false">S35+T35</f>
        <v>26194.1734139821</v>
      </c>
      <c r="V35" s="13" t="n">
        <f aca="false">U35/(1-load_SAG)</f>
        <v>33157.1815366862</v>
      </c>
      <c r="W35" s="46" t="n">
        <f aca="false">V35*ea_SAG</f>
        <v>3315.71815366862</v>
      </c>
      <c r="X35" s="46" t="n">
        <f aca="false">V35*ec_SAG</f>
        <v>2321.00270756803</v>
      </c>
      <c r="Y35" s="46" t="n">
        <f aca="false">V35*m_SAG</f>
        <v>1326.28726146745</v>
      </c>
      <c r="Z35" s="46" t="n">
        <f aca="false">V35*tax_SAG</f>
        <v>331.571815366862</v>
      </c>
      <c r="AA35" s="19" t="n">
        <f aca="false">V35+Z35</f>
        <v>33488.7533520531</v>
      </c>
      <c r="AB35" s="41" t="n">
        <f aca="false">IF(G35&gt;0,S35/G35*1000,"n.a.")</f>
        <v>124.7341591142</v>
      </c>
    </row>
    <row r="36" customFormat="false" ht="15" hidden="false" customHeight="false" outlineLevel="0" collapsed="false">
      <c r="A36" s="38" t="str">
        <f aca="false">B36&amp;"|"&amp;C36</f>
        <v>Quadros Médios|PREV</v>
      </c>
      <c r="B36" s="21" t="s">
        <v>328</v>
      </c>
      <c r="C36" s="9" t="s">
        <v>188</v>
      </c>
      <c r="D36" s="38" t="str">
        <f aca="false">INDEX(Cov_Nome,MATCH(C36,Cov_Cod,0))</f>
        <v>Medicina Preventiva e Check-up Anual</v>
      </c>
      <c r="E36" s="38" t="str">
        <f aca="false">INDEX(Cov_Grupo,MATCH(C36,Cov_Cod,0))</f>
        <v>Extensão</v>
      </c>
      <c r="F36" s="37" t="s">
        <v>297</v>
      </c>
      <c r="G36" s="35" t="n">
        <v>200000</v>
      </c>
      <c r="H36" s="41" t="n">
        <f aca="false">INDEX(Cov_Lambda,MATCH(C36,Cov_Cod,0))</f>
        <v>0.55</v>
      </c>
      <c r="I36" s="46" t="n">
        <f aca="false">INDEX(Cov_Mu,MATCH(C36,Cov_Cod,0))</f>
        <v>76000</v>
      </c>
      <c r="J36" s="41" t="n">
        <f aca="false">IF(INDEX(Cov_FR,MATCH(C36,Cov_Cod,0))="S",INDEX(PF_Factor,MATCH("SAG|"&amp;B36,PF_Key,0)),1)</f>
        <v>1</v>
      </c>
      <c r="K36" s="46" t="n">
        <f aca="false">IF(C36="HOSP_INT",los_int,IF(C36="HOSP_CIR",los_cir,0))*MAX(0,room_ref*J36-INDEX(PF_Room,MATCH("SAG|"&amp;B36,PF_Key,0)))</f>
        <v>0</v>
      </c>
      <c r="L36" s="46" t="n">
        <f aca="false">MAX(0,I36*J36-K36)</f>
        <v>76000</v>
      </c>
      <c r="M36" s="41" t="n">
        <f aca="false">f_trend</f>
        <v>1.182194</v>
      </c>
      <c r="N36" s="46" t="n">
        <f aca="false">H36*L36*M36/(1-EXP(-H36))</f>
        <v>116808.14809336</v>
      </c>
      <c r="O36" s="47" t="n">
        <f aca="false">INDEX(Cov_CV,MATCH(C36,Cov_Cod,0))</f>
        <v>0.3</v>
      </c>
      <c r="P36" s="41" t="n">
        <f aca="false">SQRT(LN(1+O36^2))</f>
        <v>0.293560379208524</v>
      </c>
      <c r="Q36" s="41" t="n">
        <f aca="false">LN(N36)-P36^2/2</f>
        <v>11.6251992598958</v>
      </c>
      <c r="R36" s="41" t="n">
        <f aca="false">IF(G36&lt;=0,1,NORMSDIST((LN(G36)-Q36-P36^2)/P36)+G36/N36*(1-NORMSDIST((LN(G36)-Q36)/P36)))</f>
        <v>0.994983612284122</v>
      </c>
      <c r="S36" s="13" t="n">
        <f aca="false">IF(F36="—",0,H36*L36*M36*R36)</f>
        <v>49167.8208433977</v>
      </c>
      <c r="T36" s="46" t="n">
        <f aca="false">S36*sig_SAG</f>
        <v>2458.39104216989</v>
      </c>
      <c r="U36" s="13" t="n">
        <f aca="false">S36+T36</f>
        <v>51626.2118855676</v>
      </c>
      <c r="V36" s="13" t="n">
        <f aca="false">U36/(1-load_SAG)</f>
        <v>65349.6352981868</v>
      </c>
      <c r="W36" s="46" t="n">
        <f aca="false">V36*ea_SAG</f>
        <v>6534.96352981868</v>
      </c>
      <c r="X36" s="46" t="n">
        <f aca="false">V36*ec_SAG</f>
        <v>4574.47447087308</v>
      </c>
      <c r="Y36" s="46" t="n">
        <f aca="false">V36*m_SAG</f>
        <v>2613.98541192747</v>
      </c>
      <c r="Z36" s="46" t="n">
        <f aca="false">V36*tax_SAG</f>
        <v>653.496352981868</v>
      </c>
      <c r="AA36" s="19" t="n">
        <f aca="false">V36+Z36</f>
        <v>66003.1316511687</v>
      </c>
      <c r="AB36" s="41" t="n">
        <f aca="false">IF(G36&gt;0,S36/G36*1000,"n.a.")</f>
        <v>245.839104216989</v>
      </c>
    </row>
    <row r="37" customFormat="false" ht="15" hidden="false" customHeight="false" outlineLevel="0" collapsed="false">
      <c r="A37" s="38" t="str">
        <f aca="false">B37&amp;"|"&amp;C37</f>
        <v>Quadros Médios|EVAC</v>
      </c>
      <c r="B37" s="21" t="s">
        <v>328</v>
      </c>
      <c r="C37" s="9" t="s">
        <v>192</v>
      </c>
      <c r="D37" s="38" t="str">
        <f aca="false">INDEX(Cov_Nome,MATCH(C37,Cov_Cod,0))</f>
        <v>Evacuação Médica e Cobertura no Estrangeiro</v>
      </c>
      <c r="E37" s="38" t="str">
        <f aca="false">INDEX(Cov_Grupo,MATCH(C37,Cov_Cod,0))</f>
        <v>Extensão</v>
      </c>
      <c r="F37" s="37" t="s">
        <v>297</v>
      </c>
      <c r="G37" s="35" t="n">
        <v>30000000</v>
      </c>
      <c r="H37" s="41" t="n">
        <f aca="false">INDEX(Cov_Lambda,MATCH(C37,Cov_Cod,0))</f>
        <v>0.0012</v>
      </c>
      <c r="I37" s="46" t="n">
        <f aca="false">INDEX(Cov_Mu,MATCH(C37,Cov_Cod,0))</f>
        <v>44700960</v>
      </c>
      <c r="J37" s="41" t="n">
        <f aca="false">IF(INDEX(Cov_FR,MATCH(C37,Cov_Cod,0))="S",INDEX(PF_Factor,MATCH("SAG|"&amp;B37,PF_Key,0)),1)</f>
        <v>1</v>
      </c>
      <c r="K37" s="46" t="n">
        <f aca="false">IF(C37="HOSP_INT",los_int,IF(C37="HOSP_CIR",los_cir,0))*MAX(0,room_ref*J37-INDEX(PF_Room,MATCH("SAG|"&amp;B37,PF_Key,0)))</f>
        <v>0</v>
      </c>
      <c r="L37" s="46" t="n">
        <f aca="false">MAX(0,I37*J37-K37)</f>
        <v>44700960</v>
      </c>
      <c r="M37" s="41" t="n">
        <f aca="false">f_trend</f>
        <v>1.182194</v>
      </c>
      <c r="N37" s="46" t="n">
        <f aca="false">H37*L37*M37/(1-EXP(-H37))</f>
        <v>52876920.171689</v>
      </c>
      <c r="O37" s="47" t="n">
        <f aca="false">INDEX(Cov_CV,MATCH(C37,Cov_Cod,0))</f>
        <v>1</v>
      </c>
      <c r="P37" s="41" t="n">
        <f aca="false">SQRT(LN(1+O37^2))</f>
        <v>0.832554611157698</v>
      </c>
      <c r="Q37" s="41" t="n">
        <f aca="false">LN(N37)-P37^2/2</f>
        <v>17.4369039196952</v>
      </c>
      <c r="R37" s="41" t="n">
        <f aca="false">IF(G37&lt;=0,1,NORMSDIST((LN(G37)-Q37-P37^2)/P37)+G37/N37*(1-NORMSDIST((LN(G37)-Q37)/P37)))</f>
        <v>0.479163070845566</v>
      </c>
      <c r="S37" s="13" t="n">
        <f aca="false">IF(F37="—",0,H37*L37*M37*R37)</f>
        <v>30385.7658297968</v>
      </c>
      <c r="T37" s="46" t="n">
        <f aca="false">S37*sig_SAG</f>
        <v>1519.28829148984</v>
      </c>
      <c r="U37" s="13" t="n">
        <f aca="false">S37+T37</f>
        <v>31905.0541212866</v>
      </c>
      <c r="V37" s="13" t="n">
        <f aca="false">U37/(1-load_SAG)</f>
        <v>40386.1444573248</v>
      </c>
      <c r="W37" s="46" t="n">
        <f aca="false">V37*ea_SAG</f>
        <v>4038.61444573248</v>
      </c>
      <c r="X37" s="46" t="n">
        <f aca="false">V37*ec_SAG</f>
        <v>2827.03011201274</v>
      </c>
      <c r="Y37" s="46" t="n">
        <f aca="false">V37*m_SAG</f>
        <v>1615.44577829299</v>
      </c>
      <c r="Z37" s="46" t="n">
        <f aca="false">V37*tax_SAG</f>
        <v>403.861444573248</v>
      </c>
      <c r="AA37" s="19" t="n">
        <f aca="false">V37+Z37</f>
        <v>40790.0059018981</v>
      </c>
      <c r="AB37" s="41" t="n">
        <f aca="false">IF(G37&gt;0,S37/G37*1000,"n.a.")</f>
        <v>1.01285886099323</v>
      </c>
    </row>
    <row r="38" customFormat="false" ht="15" hidden="false" customHeight="false" outlineLevel="0" collapsed="false">
      <c r="A38" s="38" t="str">
        <f aca="false">B38&amp;"|"&amp;C38</f>
        <v>Quadros Médios|ONCO</v>
      </c>
      <c r="B38" s="21" t="s">
        <v>328</v>
      </c>
      <c r="C38" s="9" t="s">
        <v>196</v>
      </c>
      <c r="D38" s="38" t="str">
        <f aca="false">INDEX(Cov_Nome,MATCH(C38,Cov_Cod,0))</f>
        <v>Doenças Graves — Oncologia</v>
      </c>
      <c r="E38" s="38" t="str">
        <f aca="false">INDEX(Cov_Grupo,MATCH(C38,Cov_Cod,0))</f>
        <v>Extensão</v>
      </c>
      <c r="F38" s="37" t="s">
        <v>297</v>
      </c>
      <c r="G38" s="35" t="n">
        <v>30000000</v>
      </c>
      <c r="H38" s="41" t="n">
        <f aca="false">INDEX(Cov_Lambda,MATCH(C38,Cov_Cod,0))</f>
        <v>0.00055</v>
      </c>
      <c r="I38" s="46" t="n">
        <f aca="false">INDEX(Cov_Mu,MATCH(C38,Cov_Cod,0))</f>
        <v>18400000</v>
      </c>
      <c r="J38" s="41" t="n">
        <f aca="false">IF(INDEX(Cov_FR,MATCH(C38,Cov_Cod,0))="S",INDEX(PF_Factor,MATCH("SAG|"&amp;B38,PF_Key,0)),1)</f>
        <v>1</v>
      </c>
      <c r="K38" s="46" t="n">
        <f aca="false">IF(C38="HOSP_INT",los_int,IF(C38="HOSP_CIR",los_cir,0))*MAX(0,room_ref*J38-INDEX(PF_Room,MATCH("SAG|"&amp;B38,PF_Key,0)))</f>
        <v>0</v>
      </c>
      <c r="L38" s="46" t="n">
        <f aca="false">MAX(0,I38*J38-K38)</f>
        <v>18400000</v>
      </c>
      <c r="M38" s="41" t="n">
        <f aca="false">f_trend</f>
        <v>1.182194</v>
      </c>
      <c r="N38" s="46" t="n">
        <f aca="false">H38*L38*M38/(1-EXP(-H38))</f>
        <v>21758352.0499812</v>
      </c>
      <c r="O38" s="47" t="n">
        <f aca="false">INDEX(Cov_CV,MATCH(C38,Cov_Cod,0))</f>
        <v>1</v>
      </c>
      <c r="P38" s="41" t="n">
        <f aca="false">SQRT(LN(1+O38^2))</f>
        <v>0.832554611157698</v>
      </c>
      <c r="Q38" s="41" t="n">
        <f aca="false">LN(N38)-P38^2/2</f>
        <v>16.548934653807</v>
      </c>
      <c r="R38" s="41" t="n">
        <f aca="false">IF(G38&lt;=0,1,NORMSDIST((LN(G38)-Q38-P38^2)/P38)+G38/N38*(1-NORMSDIST((LN(G38)-Q38)/P38)))</f>
        <v>0.779116341023333</v>
      </c>
      <c r="S38" s="13" t="n">
        <f aca="false">IF(F38="—",0,H38*L38*M38*R38)</f>
        <v>9321.19463623655</v>
      </c>
      <c r="T38" s="46" t="n">
        <f aca="false">S38*sig_SAG</f>
        <v>466.059731811828</v>
      </c>
      <c r="U38" s="13" t="n">
        <f aca="false">S38+T38</f>
        <v>9787.25436804838</v>
      </c>
      <c r="V38" s="13" t="n">
        <f aca="false">U38/(1-load_SAG)</f>
        <v>12388.9295798081</v>
      </c>
      <c r="W38" s="46" t="n">
        <f aca="false">V38*ea_SAG</f>
        <v>1238.89295798081</v>
      </c>
      <c r="X38" s="46" t="n">
        <f aca="false">V38*ec_SAG</f>
        <v>867.225070586565</v>
      </c>
      <c r="Y38" s="46" t="n">
        <f aca="false">V38*m_SAG</f>
        <v>495.557183192323</v>
      </c>
      <c r="Z38" s="46" t="n">
        <f aca="false">V38*tax_SAG</f>
        <v>123.889295798081</v>
      </c>
      <c r="AA38" s="19" t="n">
        <f aca="false">V38+Z38</f>
        <v>12512.8188756062</v>
      </c>
      <c r="AB38" s="41" t="n">
        <f aca="false">IF(G38&gt;0,S38/G38*1000,"n.a.")</f>
        <v>0.310706487874552</v>
      </c>
    </row>
    <row r="39" customFormat="false" ht="15" hidden="false" customHeight="false" outlineLevel="0" collapsed="false">
      <c r="A39" s="38" t="str">
        <f aca="false">B39&amp;"|"&amp;C39</f>
        <v>Quadros Médios|HEMO</v>
      </c>
      <c r="B39" s="21" t="s">
        <v>328</v>
      </c>
      <c r="C39" s="9" t="s">
        <v>200</v>
      </c>
      <c r="D39" s="38" t="str">
        <f aca="false">INDEX(Cov_Nome,MATCH(C39,Cov_Cod,0))</f>
        <v>Doenças Crónicas — Hemodiálise</v>
      </c>
      <c r="E39" s="38" t="str">
        <f aca="false">INDEX(Cov_Grupo,MATCH(C39,Cov_Cod,0))</f>
        <v>Extensão</v>
      </c>
      <c r="F39" s="37" t="s">
        <v>297</v>
      </c>
      <c r="G39" s="35" t="n">
        <v>15000000</v>
      </c>
      <c r="H39" s="41" t="n">
        <f aca="false">INDEX(Cov_Lambda,MATCH(C39,Cov_Cod,0))</f>
        <v>0.00025</v>
      </c>
      <c r="I39" s="46" t="n">
        <f aca="false">INDEX(Cov_Mu,MATCH(C39,Cov_Cod,0))</f>
        <v>14352000</v>
      </c>
      <c r="J39" s="41" t="n">
        <f aca="false">IF(INDEX(Cov_FR,MATCH(C39,Cov_Cod,0))="S",INDEX(PF_Factor,MATCH("SAG|"&amp;B39,PF_Key,0)),1)</f>
        <v>1</v>
      </c>
      <c r="K39" s="46" t="n">
        <f aca="false">IF(C39="HOSP_INT",los_int,IF(C39="HOSP_CIR",los_cir,0))*MAX(0,room_ref*J39-INDEX(PF_Room,MATCH("SAG|"&amp;B39,PF_Key,0)))</f>
        <v>0</v>
      </c>
      <c r="L39" s="46" t="n">
        <f aca="false">MAX(0,I39*J39-K39)</f>
        <v>14352000</v>
      </c>
      <c r="M39" s="41" t="n">
        <f aca="false">f_trend</f>
        <v>1.182194</v>
      </c>
      <c r="N39" s="46" t="n">
        <f aca="false">H39*L39*M39/(1-EXP(-H39))</f>
        <v>16968969.2324074</v>
      </c>
      <c r="O39" s="47" t="n">
        <f aca="false">INDEX(Cov_CV,MATCH(C39,Cov_Cod,0))</f>
        <v>0.4</v>
      </c>
      <c r="P39" s="41" t="n">
        <f aca="false">SQRT(LN(1+O39^2))</f>
        <v>0.385253170159927</v>
      </c>
      <c r="Q39" s="41" t="n">
        <f aca="false">LN(N39)-P39^2/2</f>
        <v>16.5726868922294</v>
      </c>
      <c r="R39" s="41" t="n">
        <f aca="false">IF(G39&lt;=0,1,NORMSDIST((LN(G39)-Q39-P39^2)/P39)+G39/N39*(1-NORMSDIST((LN(G39)-Q39)/P39)))</f>
        <v>0.79088678971671</v>
      </c>
      <c r="S39" s="13" t="n">
        <f aca="false">IF(F39="—",0,H39*L39*M39*R39)</f>
        <v>3354.7140435267</v>
      </c>
      <c r="T39" s="46" t="n">
        <f aca="false">S39*sig_SAG</f>
        <v>167.735702176335</v>
      </c>
      <c r="U39" s="13" t="n">
        <f aca="false">S39+T39</f>
        <v>3522.44974570303</v>
      </c>
      <c r="V39" s="13" t="n">
        <f aca="false">U39/(1-load_SAG)</f>
        <v>4458.79714645953</v>
      </c>
      <c r="W39" s="46" t="n">
        <f aca="false">V39*ea_SAG</f>
        <v>445.879714645953</v>
      </c>
      <c r="X39" s="46" t="n">
        <f aca="false">V39*ec_SAG</f>
        <v>312.115800252167</v>
      </c>
      <c r="Y39" s="46" t="n">
        <f aca="false">V39*m_SAG</f>
        <v>178.351885858381</v>
      </c>
      <c r="Z39" s="46" t="n">
        <f aca="false">V39*tax_SAG</f>
        <v>44.5879714645953</v>
      </c>
      <c r="AA39" s="19" t="n">
        <f aca="false">V39+Z39</f>
        <v>4503.38511792413</v>
      </c>
      <c r="AB39" s="41" t="n">
        <f aca="false">IF(G39&gt;0,S39/G39*1000,"n.a.")</f>
        <v>0.22364760290178</v>
      </c>
    </row>
    <row r="40" customFormat="false" ht="15" hidden="false" customHeight="false" outlineLevel="0" collapsed="false">
      <c r="A40" s="32" t="str">
        <f aca="false">B40&amp;"|"&amp;C40</f>
        <v>Administração|HOSP_INT</v>
      </c>
      <c r="B40" s="16" t="s">
        <v>329</v>
      </c>
      <c r="C40" s="7" t="s">
        <v>132</v>
      </c>
      <c r="D40" s="32" t="str">
        <f aca="false">INDEX(Cov_Nome,MATCH(C40,Cov_Cod,0))</f>
        <v>Internamento Hospitalar Médico (incl. malária grave)</v>
      </c>
      <c r="E40" s="32" t="str">
        <f aca="false">INDEX(Cov_Grupo,MATCH(C40,Cov_Cod,0))</f>
        <v>Principal</v>
      </c>
      <c r="F40" s="37" t="s">
        <v>296</v>
      </c>
      <c r="G40" s="35" t="n">
        <v>60000000</v>
      </c>
      <c r="H40" s="40" t="n">
        <f aca="false">INDEX(Cov_Lambda,MATCH(C40,Cov_Cod,0))</f>
        <v>0.045</v>
      </c>
      <c r="I40" s="18" t="n">
        <f aca="false">INDEX(Cov_Mu,MATCH(C40,Cov_Cod,0))</f>
        <v>854500</v>
      </c>
      <c r="J40" s="40" t="n">
        <f aca="false">IF(INDEX(Cov_FR,MATCH(C40,Cov_Cod,0))="S",INDEX(PF_Factor,MATCH("SAG|"&amp;B40,PF_Key,0)),1)</f>
        <v>1.35</v>
      </c>
      <c r="K40" s="18" t="n">
        <f aca="false">IF(C40="HOSP_INT",los_int,IF(C40="HOSP_CIR",los_cir,0))*MAX(0,room_ref*J40-INDEX(PF_Room,MATCH("SAG|"&amp;B40,PF_Key,0)))</f>
        <v>0</v>
      </c>
      <c r="L40" s="18" t="n">
        <f aca="false">MAX(0,I40*J40-K40)</f>
        <v>1153575</v>
      </c>
      <c r="M40" s="40" t="n">
        <f aca="false">f_trend</f>
        <v>1.182194</v>
      </c>
      <c r="N40" s="18" t="n">
        <f aca="false">H40*L40*M40/(1-EXP(-H40))</f>
        <v>1394663.93098187</v>
      </c>
      <c r="O40" s="44" t="n">
        <f aca="false">INDEX(Cov_CV,MATCH(C40,Cov_Cod,0))</f>
        <v>1.5</v>
      </c>
      <c r="P40" s="40" t="n">
        <f aca="false">SQRT(LN(1+O40^2))</f>
        <v>1.08565878449062</v>
      </c>
      <c r="Q40" s="40" t="n">
        <f aca="false">LN(N40)-P40^2/2</f>
        <v>13.558836536353</v>
      </c>
      <c r="R40" s="40" t="n">
        <f aca="false">IF(G40&lt;=0,1,NORMSDIST((LN(G40)-Q40-P40^2)/P40)+G40/N40*(1-NORMSDIST((LN(G40)-Q40)/P40)))</f>
        <v>0.999580147847757</v>
      </c>
      <c r="S40" s="14" t="n">
        <f aca="false">IF(F40="—",0,H40*L40*M40*R40)</f>
        <v>61342.9591684953</v>
      </c>
      <c r="T40" s="18" t="n">
        <f aca="false">S40*sig_SAG</f>
        <v>3067.14795842476</v>
      </c>
      <c r="U40" s="14" t="n">
        <f aca="false">S40+T40</f>
        <v>64410.10712692</v>
      </c>
      <c r="V40" s="14" t="n">
        <f aca="false">U40/(1-load_SAG)</f>
        <v>81531.7811733165</v>
      </c>
      <c r="W40" s="18" t="n">
        <f aca="false">V40*ea_SAG</f>
        <v>8153.17811733165</v>
      </c>
      <c r="X40" s="18" t="n">
        <f aca="false">V40*ec_SAG</f>
        <v>5707.22468213215</v>
      </c>
      <c r="Y40" s="18" t="n">
        <f aca="false">V40*m_SAG</f>
        <v>3261.27124693266</v>
      </c>
      <c r="Z40" s="18" t="n">
        <f aca="false">V40*tax_SAG</f>
        <v>815.317811733165</v>
      </c>
      <c r="AA40" s="19" t="n">
        <f aca="false">V40+Z40</f>
        <v>82347.0989850496</v>
      </c>
      <c r="AB40" s="40" t="n">
        <f aca="false">IF(G40&gt;0,S40/G40*1000,"n.a.")</f>
        <v>1.02238265280825</v>
      </c>
    </row>
    <row r="41" customFormat="false" ht="15" hidden="false" customHeight="false" outlineLevel="0" collapsed="false">
      <c r="A41" s="32" t="str">
        <f aca="false">B41&amp;"|"&amp;C41</f>
        <v>Administração|HOSP_CIR</v>
      </c>
      <c r="B41" s="16" t="s">
        <v>329</v>
      </c>
      <c r="C41" s="7" t="s">
        <v>139</v>
      </c>
      <c r="D41" s="32" t="str">
        <f aca="false">INDEX(Cov_Nome,MATCH(C41,Cov_Cod,0))</f>
        <v>Cirurgia (com internamento e de ambulatório)</v>
      </c>
      <c r="E41" s="32" t="str">
        <f aca="false">INDEX(Cov_Grupo,MATCH(C41,Cov_Cod,0))</f>
        <v>Principal</v>
      </c>
      <c r="F41" s="37" t="s">
        <v>296</v>
      </c>
      <c r="G41" s="35" t="n">
        <v>60000000</v>
      </c>
      <c r="H41" s="40" t="n">
        <f aca="false">INDEX(Cov_Lambda,MATCH(C41,Cov_Cod,0))</f>
        <v>0.024</v>
      </c>
      <c r="I41" s="18" t="n">
        <f aca="false">INDEX(Cov_Mu,MATCH(C41,Cov_Cod,0))</f>
        <v>2032500</v>
      </c>
      <c r="J41" s="40" t="n">
        <f aca="false">IF(INDEX(Cov_FR,MATCH(C41,Cov_Cod,0))="S",INDEX(PF_Factor,MATCH("SAG|"&amp;B41,PF_Key,0)),1)</f>
        <v>1.35</v>
      </c>
      <c r="K41" s="18" t="n">
        <f aca="false">IF(C41="HOSP_INT",los_int,IF(C41="HOSP_CIR",los_cir,0))*MAX(0,room_ref*J41-INDEX(PF_Room,MATCH("SAG|"&amp;B41,PF_Key,0)))</f>
        <v>0</v>
      </c>
      <c r="L41" s="18" t="n">
        <f aca="false">MAX(0,I41*J41-K41)</f>
        <v>2743875</v>
      </c>
      <c r="M41" s="40" t="n">
        <f aca="false">f_trend</f>
        <v>1.182194</v>
      </c>
      <c r="N41" s="18" t="n">
        <f aca="false">H41*L41*M41/(1-EXP(-H41))</f>
        <v>3282873.77303924</v>
      </c>
      <c r="O41" s="44" t="n">
        <f aca="false">INDEX(Cov_CV,MATCH(C41,Cov_Cod,0))</f>
        <v>1.3</v>
      </c>
      <c r="P41" s="40" t="n">
        <f aca="false">SQRT(LN(1+O41^2))</f>
        <v>0.994756851503797</v>
      </c>
      <c r="Q41" s="40" t="n">
        <f aca="false">LN(N41)-P41^2/2</f>
        <v>14.5094591502746</v>
      </c>
      <c r="R41" s="40" t="n">
        <f aca="false">IF(G41&lt;=0,1,NORMSDIST((LN(G41)-Q41-P41^2)/P41)+G41/N41*(1-NORMSDIST((LN(G41)-Q41)/P41)))</f>
        <v>0.998073431058454</v>
      </c>
      <c r="S41" s="14" t="n">
        <f aca="false">IF(F41="—",0,H41*L41*M41*R41)</f>
        <v>77701.0361219451</v>
      </c>
      <c r="T41" s="18" t="n">
        <f aca="false">S41*sig_SAG</f>
        <v>3885.05180609726</v>
      </c>
      <c r="U41" s="14" t="n">
        <f aca="false">S41+T41</f>
        <v>81586.0879280424</v>
      </c>
      <c r="V41" s="14" t="n">
        <f aca="false">U41/(1-load_SAG)</f>
        <v>103273.529022838</v>
      </c>
      <c r="W41" s="18" t="n">
        <f aca="false">V41*ea_SAG</f>
        <v>10327.3529022838</v>
      </c>
      <c r="X41" s="18" t="n">
        <f aca="false">V41*ec_SAG</f>
        <v>7229.14703159869</v>
      </c>
      <c r="Y41" s="18" t="n">
        <f aca="false">V41*m_SAG</f>
        <v>4130.94116091354</v>
      </c>
      <c r="Z41" s="18" t="n">
        <f aca="false">V41*tax_SAG</f>
        <v>1032.73529022838</v>
      </c>
      <c r="AA41" s="19" t="n">
        <f aca="false">V41+Z41</f>
        <v>104306.264313067</v>
      </c>
      <c r="AB41" s="40" t="n">
        <f aca="false">IF(G41&gt;0,S41/G41*1000,"n.a.")</f>
        <v>1.29501726869909</v>
      </c>
    </row>
    <row r="42" customFormat="false" ht="15" hidden="false" customHeight="false" outlineLevel="0" collapsed="false">
      <c r="A42" s="32" t="str">
        <f aca="false">B42&amp;"|"&amp;C42</f>
        <v>Administração|HOSP_UCI</v>
      </c>
      <c r="B42" s="16" t="s">
        <v>329</v>
      </c>
      <c r="C42" s="7" t="s">
        <v>143</v>
      </c>
      <c r="D42" s="32" t="str">
        <f aca="false">INDEX(Cov_Nome,MATCH(C42,Cov_Cod,0))</f>
        <v>Cuidados Intensivos (UCI)</v>
      </c>
      <c r="E42" s="32" t="str">
        <f aca="false">INDEX(Cov_Grupo,MATCH(C42,Cov_Cod,0))</f>
        <v>Principal</v>
      </c>
      <c r="F42" s="37" t="s">
        <v>296</v>
      </c>
      <c r="G42" s="45" t="n">
        <f aca="false">INDEX(PF_UCI,MATCH("SAG|"&amp;B42,PF_Key,0))</f>
        <v>20000000</v>
      </c>
      <c r="H42" s="40" t="n">
        <f aca="false">INDEX(Cov_Lambda,MATCH(C42,Cov_Cod,0))</f>
        <v>0.0035</v>
      </c>
      <c r="I42" s="18" t="n">
        <f aca="false">INDEX(Cov_Mu,MATCH(C42,Cov_Cod,0))</f>
        <v>2835000</v>
      </c>
      <c r="J42" s="40" t="n">
        <f aca="false">IF(INDEX(Cov_FR,MATCH(C42,Cov_Cod,0))="S",INDEX(PF_Factor,MATCH("SAG|"&amp;B42,PF_Key,0)),1)</f>
        <v>1.35</v>
      </c>
      <c r="K42" s="18" t="n">
        <f aca="false">IF(C42="HOSP_INT",los_int,IF(C42="HOSP_CIR",los_cir,0))*MAX(0,room_ref*J42-INDEX(PF_Room,MATCH("SAG|"&amp;B42,PF_Key,0)))</f>
        <v>0</v>
      </c>
      <c r="L42" s="18" t="n">
        <f aca="false">MAX(0,I42*J42-K42)</f>
        <v>3827250</v>
      </c>
      <c r="M42" s="40" t="n">
        <f aca="false">f_trend</f>
        <v>1.182194</v>
      </c>
      <c r="N42" s="18" t="n">
        <f aca="false">H42*L42*M42/(1-EXP(-H42))</f>
        <v>4532474.57128889</v>
      </c>
      <c r="O42" s="44" t="n">
        <f aca="false">INDEX(Cov_CV,MATCH(C42,Cov_Cod,0))</f>
        <v>1.2</v>
      </c>
      <c r="P42" s="40" t="n">
        <f aca="false">SQRT(LN(1+O42^2))</f>
        <v>0.944456478248262</v>
      </c>
      <c r="Q42" s="40" t="n">
        <f aca="false">LN(N42)-P42^2/2</f>
        <v>14.880779591637</v>
      </c>
      <c r="R42" s="40" t="n">
        <f aca="false">IF(G42&lt;=0,1,NORMSDIST((LN(G42)-Q42-P42^2)/P42)+G42/N42*(1-NORMSDIST((LN(G42)-Q42)/P42)))</f>
        <v>0.95459029260469</v>
      </c>
      <c r="S42" s="14" t="n">
        <f aca="false">IF(F42="—",0,H42*L42*M42*R42)</f>
        <v>15116.8269164436</v>
      </c>
      <c r="T42" s="18" t="n">
        <f aca="false">S42*sig_SAG</f>
        <v>755.841345822179</v>
      </c>
      <c r="U42" s="14" t="n">
        <f aca="false">S42+T42</f>
        <v>15872.6682622658</v>
      </c>
      <c r="V42" s="14" t="n">
        <f aca="false">U42/(1-load_SAG)</f>
        <v>20091.9851421086</v>
      </c>
      <c r="W42" s="18" t="n">
        <f aca="false">V42*ea_SAG</f>
        <v>2009.19851421086</v>
      </c>
      <c r="X42" s="18" t="n">
        <f aca="false">V42*ec_SAG</f>
        <v>1406.4389599476</v>
      </c>
      <c r="Y42" s="18" t="n">
        <f aca="false">V42*m_SAG</f>
        <v>803.679405684342</v>
      </c>
      <c r="Z42" s="18" t="n">
        <f aca="false">V42*tax_SAG</f>
        <v>200.919851421086</v>
      </c>
      <c r="AA42" s="19" t="n">
        <f aca="false">V42+Z42</f>
        <v>20292.9049935296</v>
      </c>
      <c r="AB42" s="40" t="n">
        <f aca="false">IF(G42&gt;0,S42/G42*1000,"n.a.")</f>
        <v>0.755841345822179</v>
      </c>
    </row>
    <row r="43" customFormat="false" ht="15" hidden="false" customHeight="false" outlineLevel="0" collapsed="false">
      <c r="A43" s="32" t="str">
        <f aca="false">B43&amp;"|"&amp;C43</f>
        <v>Administração|AMB_CONS</v>
      </c>
      <c r="B43" s="16" t="s">
        <v>329</v>
      </c>
      <c r="C43" s="7" t="s">
        <v>147</v>
      </c>
      <c r="D43" s="32" t="str">
        <f aca="false">INDEX(Cov_Nome,MATCH(C43,Cov_Cod,0))</f>
        <v>Consultas de Clínica Geral e Especialidade (incl. teleconsulta)</v>
      </c>
      <c r="E43" s="32" t="str">
        <f aca="false">INDEX(Cov_Grupo,MATCH(C43,Cov_Cod,0))</f>
        <v>Principal</v>
      </c>
      <c r="F43" s="37" t="s">
        <v>296</v>
      </c>
      <c r="G43" s="35" t="n">
        <v>12000000</v>
      </c>
      <c r="H43" s="40" t="n">
        <f aca="false">INDEX(Cov_Lambda,MATCH(C43,Cov_Cod,0))</f>
        <v>2.6</v>
      </c>
      <c r="I43" s="18" t="n">
        <f aca="false">INDEX(Cov_Mu,MATCH(C43,Cov_Cod,0))</f>
        <v>24000</v>
      </c>
      <c r="J43" s="40" t="n">
        <f aca="false">IF(INDEX(Cov_FR,MATCH(C43,Cov_Cod,0))="S",INDEX(PF_Factor,MATCH("SAG|"&amp;B43,PF_Key,0)),1)</f>
        <v>1.35</v>
      </c>
      <c r="K43" s="18" t="n">
        <f aca="false">IF(C43="HOSP_INT",los_int,IF(C43="HOSP_CIR",los_cir,0))*MAX(0,room_ref*J43-INDEX(PF_Room,MATCH("SAG|"&amp;B43,PF_Key,0)))</f>
        <v>0</v>
      </c>
      <c r="L43" s="18" t="n">
        <f aca="false">MAX(0,I43*J43-K43)</f>
        <v>32400</v>
      </c>
      <c r="M43" s="40" t="n">
        <f aca="false">f_trend</f>
        <v>1.182194</v>
      </c>
      <c r="N43" s="18" t="n">
        <f aca="false">H43*L43*M43/(1-EXP(-H43))</f>
        <v>107578.243654212</v>
      </c>
      <c r="O43" s="44" t="n">
        <f aca="false">INDEX(Cov_CV,MATCH(C43,Cov_Cod,0))</f>
        <v>1</v>
      </c>
      <c r="P43" s="40" t="n">
        <f aca="false">SQRT(LN(1+O43^2))</f>
        <v>0.832554611157698</v>
      </c>
      <c r="Q43" s="40" t="n">
        <f aca="false">LN(N43)-P43^2/2</f>
        <v>11.2394001194632</v>
      </c>
      <c r="R43" s="40" t="n">
        <f aca="false">IF(G43&lt;=0,1,NORMSDIST((LN(G43)-Q43-P43^2)/P43)+G43/N43*(1-NORMSDIST((LN(G43)-Q43)/P43)))</f>
        <v>0.999999989918257</v>
      </c>
      <c r="S43" s="14" t="n">
        <f aca="false">IF(F43="—",0,H43*L43*M43*R43)</f>
        <v>99588.0215559791</v>
      </c>
      <c r="T43" s="18" t="n">
        <f aca="false">S43*sig_SAG</f>
        <v>4979.40107779896</v>
      </c>
      <c r="U43" s="14" t="n">
        <f aca="false">S43+T43</f>
        <v>104567.422633778</v>
      </c>
      <c r="V43" s="14" t="n">
        <f aca="false">U43/(1-load_SAG)</f>
        <v>132363.826118706</v>
      </c>
      <c r="W43" s="18" t="n">
        <f aca="false">V43*ea_SAG</f>
        <v>13236.3826118706</v>
      </c>
      <c r="X43" s="18" t="n">
        <f aca="false">V43*ec_SAG</f>
        <v>9265.46782830945</v>
      </c>
      <c r="Y43" s="18" t="n">
        <f aca="false">V43*m_SAG</f>
        <v>5294.55304474826</v>
      </c>
      <c r="Z43" s="18" t="n">
        <f aca="false">V43*tax_SAG</f>
        <v>1323.63826118706</v>
      </c>
      <c r="AA43" s="19" t="n">
        <f aca="false">V43+Z43</f>
        <v>133687.464379893</v>
      </c>
      <c r="AB43" s="40" t="n">
        <f aca="false">IF(G43&gt;0,S43/G43*1000,"n.a.")</f>
        <v>8.29900179633159</v>
      </c>
    </row>
    <row r="44" customFormat="false" ht="15" hidden="false" customHeight="false" outlineLevel="0" collapsed="false">
      <c r="A44" s="32" t="str">
        <f aca="false">B44&amp;"|"&amp;C44</f>
        <v>Administração|AMB_MCDT</v>
      </c>
      <c r="B44" s="16" t="s">
        <v>329</v>
      </c>
      <c r="C44" s="7" t="s">
        <v>151</v>
      </c>
      <c r="D44" s="32" t="str">
        <f aca="false">INDEX(Cov_Nome,MATCH(C44,Cov_Cod,0))</f>
        <v>MCDT — Exames, Análises e Imagiologia</v>
      </c>
      <c r="E44" s="32" t="str">
        <f aca="false">INDEX(Cov_Grupo,MATCH(C44,Cov_Cod,0))</f>
        <v>Principal</v>
      </c>
      <c r="F44" s="37" t="s">
        <v>296</v>
      </c>
      <c r="G44" s="35" t="n">
        <v>12000000</v>
      </c>
      <c r="H44" s="40" t="n">
        <f aca="false">INDEX(Cov_Lambda,MATCH(C44,Cov_Cod,0))</f>
        <v>3.8</v>
      </c>
      <c r="I44" s="18" t="n">
        <f aca="false">INDEX(Cov_Mu,MATCH(C44,Cov_Cod,0))</f>
        <v>14600</v>
      </c>
      <c r="J44" s="40" t="n">
        <f aca="false">IF(INDEX(Cov_FR,MATCH(C44,Cov_Cod,0))="S",INDEX(PF_Factor,MATCH("SAG|"&amp;B44,PF_Key,0)),1)</f>
        <v>1.35</v>
      </c>
      <c r="K44" s="18" t="n">
        <f aca="false">IF(C44="HOSP_INT",los_int,IF(C44="HOSP_CIR",los_cir,0))*MAX(0,room_ref*J44-INDEX(PF_Room,MATCH("SAG|"&amp;B44,PF_Key,0)))</f>
        <v>0</v>
      </c>
      <c r="L44" s="18" t="n">
        <f aca="false">MAX(0,I44*J44-K44)</f>
        <v>19710</v>
      </c>
      <c r="M44" s="40" t="n">
        <f aca="false">f_trend</f>
        <v>1.182194</v>
      </c>
      <c r="N44" s="18" t="n">
        <f aca="false">H44*L44*M44/(1-EXP(-H44))</f>
        <v>90570.0890102407</v>
      </c>
      <c r="O44" s="44" t="n">
        <f aca="false">INDEX(Cov_CV,MATCH(C44,Cov_Cod,0))</f>
        <v>1.5</v>
      </c>
      <c r="P44" s="40" t="n">
        <f aca="false">SQRT(LN(1+O44^2))</f>
        <v>1.08565878449062</v>
      </c>
      <c r="Q44" s="40" t="n">
        <f aca="false">LN(N44)-P44^2/2</f>
        <v>10.8245517959761</v>
      </c>
      <c r="R44" s="40" t="n">
        <f aca="false">IF(G44&lt;=0,1,NORMSDIST((LN(G44)-Q44-P44^2)/P44)+G44/N44*(1-NORMSDIST((LN(G44)-Q44)/P44)))</f>
        <v>0.999992465930402</v>
      </c>
      <c r="S44" s="14" t="n">
        <f aca="false">IF(F44="—",0,H44*L44*M44*R44)</f>
        <v>88543.299115596</v>
      </c>
      <c r="T44" s="18" t="n">
        <f aca="false">S44*sig_SAG</f>
        <v>4427.1649557798</v>
      </c>
      <c r="U44" s="14" t="n">
        <f aca="false">S44+T44</f>
        <v>92970.4640713758</v>
      </c>
      <c r="V44" s="14" t="n">
        <f aca="false">U44/(1-load_SAG)</f>
        <v>117684.131735919</v>
      </c>
      <c r="W44" s="18" t="n">
        <f aca="false">V44*ea_SAG</f>
        <v>11768.4131735919</v>
      </c>
      <c r="X44" s="18" t="n">
        <f aca="false">V44*ec_SAG</f>
        <v>8237.88922151432</v>
      </c>
      <c r="Y44" s="18" t="n">
        <f aca="false">V44*m_SAG</f>
        <v>4707.36526943675</v>
      </c>
      <c r="Z44" s="18" t="n">
        <f aca="false">V44*tax_SAG</f>
        <v>1176.84131735919</v>
      </c>
      <c r="AA44" s="19" t="n">
        <f aca="false">V44+Z44</f>
        <v>118860.973053278</v>
      </c>
      <c r="AB44" s="40" t="n">
        <f aca="false">IF(G44&gt;0,S44/G44*1000,"n.a.")</f>
        <v>7.378608259633</v>
      </c>
    </row>
    <row r="45" customFormat="false" ht="15" hidden="false" customHeight="false" outlineLevel="0" collapsed="false">
      <c r="A45" s="32" t="str">
        <f aca="false">B45&amp;"|"&amp;C45</f>
        <v>Administração|MAL</v>
      </c>
      <c r="B45" s="16" t="s">
        <v>329</v>
      </c>
      <c r="C45" s="7" t="s">
        <v>155</v>
      </c>
      <c r="D45" s="32" t="str">
        <f aca="false">INDEX(Cov_Nome,MATCH(C45,Cov_Cod,0))</f>
        <v>Malária e Doenças Endémicas (ambulatório)</v>
      </c>
      <c r="E45" s="32" t="str">
        <f aca="false">INDEX(Cov_Grupo,MATCH(C45,Cov_Cod,0))</f>
        <v>Principal</v>
      </c>
      <c r="F45" s="37" t="s">
        <v>296</v>
      </c>
      <c r="G45" s="35" t="n">
        <v>12000000</v>
      </c>
      <c r="H45" s="40" t="n">
        <f aca="false">INDEX(Cov_Lambda,MATCH(C45,Cov_Cod,0))</f>
        <v>0.3</v>
      </c>
      <c r="I45" s="18" t="n">
        <f aca="false">INDEX(Cov_Mu,MATCH(C45,Cov_Cod,0))</f>
        <v>36500</v>
      </c>
      <c r="J45" s="40" t="n">
        <f aca="false">IF(INDEX(Cov_FR,MATCH(C45,Cov_Cod,0))="S",INDEX(PF_Factor,MATCH("SAG|"&amp;B45,PF_Key,0)),1)</f>
        <v>1.35</v>
      </c>
      <c r="K45" s="18" t="n">
        <f aca="false">IF(C45="HOSP_INT",los_int,IF(C45="HOSP_CIR",los_cir,0))*MAX(0,room_ref*J45-INDEX(PF_Room,MATCH("SAG|"&amp;B45,PF_Key,0)))</f>
        <v>0</v>
      </c>
      <c r="L45" s="18" t="n">
        <f aca="false">MAX(0,I45*J45-K45)</f>
        <v>49275</v>
      </c>
      <c r="M45" s="40" t="n">
        <f aca="false">f_trend</f>
        <v>1.182194</v>
      </c>
      <c r="N45" s="18" t="n">
        <f aca="false">H45*L45*M45/(1-EXP(-H45))</f>
        <v>67426.7413819213</v>
      </c>
      <c r="O45" s="44" t="n">
        <f aca="false">INDEX(Cov_CV,MATCH(C45,Cov_Cod,0))</f>
        <v>0.8</v>
      </c>
      <c r="P45" s="40" t="n">
        <f aca="false">SQRT(LN(1+O45^2))</f>
        <v>0.703346459318668</v>
      </c>
      <c r="Q45" s="40" t="n">
        <f aca="false">LN(N45)-P45^2/2</f>
        <v>10.8714488537037</v>
      </c>
      <c r="R45" s="40" t="n">
        <f aca="false">IF(G45&lt;=0,1,NORMSDIST((LN(G45)-Q45-P45^2)/P45)+G45/N45*(1-NORMSDIST((LN(G45)-Q45)/P45)))</f>
        <v>0.999999999999901</v>
      </c>
      <c r="S45" s="14" t="n">
        <f aca="false">IF(F45="—",0,H45*L45*M45*R45)</f>
        <v>17475.7828049983</v>
      </c>
      <c r="T45" s="18" t="n">
        <f aca="false">S45*sig_SAG</f>
        <v>873.789140249913</v>
      </c>
      <c r="U45" s="14" t="n">
        <f aca="false">S45+T45</f>
        <v>18349.5719452482</v>
      </c>
      <c r="V45" s="14" t="n">
        <f aca="false">U45/(1-load_SAG)</f>
        <v>23227.3062598078</v>
      </c>
      <c r="W45" s="18" t="n">
        <f aca="false">V45*ea_SAG</f>
        <v>2322.73062598078</v>
      </c>
      <c r="X45" s="18" t="n">
        <f aca="false">V45*ec_SAG</f>
        <v>1625.91143818655</v>
      </c>
      <c r="Y45" s="18" t="n">
        <f aca="false">V45*m_SAG</f>
        <v>929.092250392313</v>
      </c>
      <c r="Z45" s="18" t="n">
        <f aca="false">V45*tax_SAG</f>
        <v>232.273062598078</v>
      </c>
      <c r="AA45" s="19" t="n">
        <f aca="false">V45+Z45</f>
        <v>23459.5793224059</v>
      </c>
      <c r="AB45" s="40" t="n">
        <f aca="false">IF(G45&gt;0,S45/G45*1000,"n.a.")</f>
        <v>1.45631523374986</v>
      </c>
    </row>
    <row r="46" customFormat="false" ht="15" hidden="false" customHeight="false" outlineLevel="0" collapsed="false">
      <c r="A46" s="32" t="str">
        <f aca="false">B46&amp;"|"&amp;C46</f>
        <v>Administração|MAT</v>
      </c>
      <c r="B46" s="16" t="s">
        <v>329</v>
      </c>
      <c r="C46" s="7" t="s">
        <v>159</v>
      </c>
      <c r="D46" s="32" t="str">
        <f aca="false">INDEX(Cov_Nome,MATCH(C46,Cov_Cod,0))</f>
        <v>Maternidade e Parto (Normal e Cesariana)</v>
      </c>
      <c r="E46" s="32" t="str">
        <f aca="false">INDEX(Cov_Grupo,MATCH(C46,Cov_Cod,0))</f>
        <v>Principal</v>
      </c>
      <c r="F46" s="37" t="s">
        <v>296</v>
      </c>
      <c r="G46" s="35" t="n">
        <v>3000000</v>
      </c>
      <c r="H46" s="40" t="n">
        <f aca="false">INDEX(Cov_Lambda,MATCH(C46,Cov_Cod,0))</f>
        <v>0.075</v>
      </c>
      <c r="I46" s="18" t="n">
        <f aca="false">INDEX(Cov_Mu,MATCH(C46,Cov_Cod,0))</f>
        <v>885640</v>
      </c>
      <c r="J46" s="40" t="n">
        <f aca="false">IF(INDEX(Cov_FR,MATCH(C46,Cov_Cod,0))="S",INDEX(PF_Factor,MATCH("SAG|"&amp;B46,PF_Key,0)),1)</f>
        <v>1.35</v>
      </c>
      <c r="K46" s="18" t="n">
        <f aca="false">IF(C46="HOSP_INT",los_int,IF(C46="HOSP_CIR",los_cir,0))*MAX(0,room_ref*J46-INDEX(PF_Room,MATCH("SAG|"&amp;B46,PF_Key,0)))</f>
        <v>0</v>
      </c>
      <c r="L46" s="18" t="n">
        <f aca="false">MAX(0,I46*J46-K46)</f>
        <v>1195614</v>
      </c>
      <c r="M46" s="40" t="n">
        <f aca="false">f_trend</f>
        <v>1.182194</v>
      </c>
      <c r="N46" s="18" t="n">
        <f aca="false">H46*L46*M46/(1-EXP(-H46))</f>
        <v>1467114.47725979</v>
      </c>
      <c r="O46" s="44" t="n">
        <f aca="false">INDEX(Cov_CV,MATCH(C46,Cov_Cod,0))</f>
        <v>0.5</v>
      </c>
      <c r="P46" s="40" t="n">
        <f aca="false">SQRT(LN(1+O46^2))</f>
        <v>0.472380727077439</v>
      </c>
      <c r="Q46" s="40" t="n">
        <f aca="false">LN(N46)-P46^2/2</f>
        <v>14.0872363133654</v>
      </c>
      <c r="R46" s="40" t="n">
        <f aca="false">IF(G46&lt;=0,1,NORMSDIST((LN(G46)-Q46-P46^2)/P46)+G46/N46*(1-NORMSDIST((LN(G46)-Q46)/P46)))</f>
        <v>0.981222314139665</v>
      </c>
      <c r="S46" s="14" t="n">
        <f aca="false">IF(F46="—",0,H46*L46*M46*R46)</f>
        <v>104017.981520966</v>
      </c>
      <c r="T46" s="18" t="n">
        <f aca="false">S46*sig_SAG</f>
        <v>5200.89907604828</v>
      </c>
      <c r="U46" s="14" t="n">
        <f aca="false">S46+T46</f>
        <v>109218.880597014</v>
      </c>
      <c r="V46" s="14" t="n">
        <f aca="false">U46/(1-load_SAG)</f>
        <v>138251.747591157</v>
      </c>
      <c r="W46" s="18" t="n">
        <f aca="false">V46*ea_SAG</f>
        <v>13825.1747591157</v>
      </c>
      <c r="X46" s="18" t="n">
        <f aca="false">V46*ec_SAG</f>
        <v>9677.62233138098</v>
      </c>
      <c r="Y46" s="18" t="n">
        <f aca="false">V46*m_SAG</f>
        <v>5530.06990364627</v>
      </c>
      <c r="Z46" s="18" t="n">
        <f aca="false">V46*tax_SAG</f>
        <v>1382.51747591157</v>
      </c>
      <c r="AA46" s="19" t="n">
        <f aca="false">V46+Z46</f>
        <v>139634.265067068</v>
      </c>
      <c r="AB46" s="40" t="n">
        <f aca="false">IF(G46&gt;0,S46/G46*1000,"n.a.")</f>
        <v>34.6726605069885</v>
      </c>
    </row>
    <row r="47" customFormat="false" ht="15" hidden="false" customHeight="false" outlineLevel="0" collapsed="false">
      <c r="A47" s="32" t="str">
        <f aca="false">B47&amp;"|"&amp;C47</f>
        <v>Administração|URG</v>
      </c>
      <c r="B47" s="16" t="s">
        <v>329</v>
      </c>
      <c r="C47" s="7" t="s">
        <v>164</v>
      </c>
      <c r="D47" s="32" t="str">
        <f aca="false">INDEX(Cov_Nome,MATCH(C47,Cov_Cod,0))</f>
        <v>Urgência Hospitalar</v>
      </c>
      <c r="E47" s="32" t="str">
        <f aca="false">INDEX(Cov_Grupo,MATCH(C47,Cov_Cod,0))</f>
        <v>Principal</v>
      </c>
      <c r="F47" s="37" t="s">
        <v>296</v>
      </c>
      <c r="G47" s="35" t="n">
        <v>1500000</v>
      </c>
      <c r="H47" s="40" t="n">
        <f aca="false">INDEX(Cov_Lambda,MATCH(C47,Cov_Cod,0))</f>
        <v>0.42</v>
      </c>
      <c r="I47" s="18" t="n">
        <f aca="false">INDEX(Cov_Mu,MATCH(C47,Cov_Cod,0))</f>
        <v>43300</v>
      </c>
      <c r="J47" s="40" t="n">
        <f aca="false">IF(INDEX(Cov_FR,MATCH(C47,Cov_Cod,0))="S",INDEX(PF_Factor,MATCH("SAG|"&amp;B47,PF_Key,0)),1)</f>
        <v>1.35</v>
      </c>
      <c r="K47" s="18" t="n">
        <f aca="false">IF(C47="HOSP_INT",los_int,IF(C47="HOSP_CIR",los_cir,0))*MAX(0,room_ref*J47-INDEX(PF_Room,MATCH("SAG|"&amp;B47,PF_Key,0)))</f>
        <v>0</v>
      </c>
      <c r="L47" s="18" t="n">
        <f aca="false">MAX(0,I47*J47-K47)</f>
        <v>58455</v>
      </c>
      <c r="M47" s="40" t="n">
        <f aca="false">f_trend</f>
        <v>1.182194</v>
      </c>
      <c r="N47" s="18" t="n">
        <f aca="false">H47*L47*M47/(1-EXP(-H47))</f>
        <v>84630.1034378752</v>
      </c>
      <c r="O47" s="44" t="n">
        <f aca="false">INDEX(Cov_CV,MATCH(C47,Cov_Cod,0))</f>
        <v>1</v>
      </c>
      <c r="P47" s="40" t="n">
        <f aca="false">SQRT(LN(1+O47^2))</f>
        <v>0.832554611157698</v>
      </c>
      <c r="Q47" s="40" t="n">
        <f aca="false">LN(N47)-P47^2/2</f>
        <v>10.9994717246199</v>
      </c>
      <c r="R47" s="40" t="n">
        <f aca="false">IF(G47&lt;=0,1,NORMSDIST((LN(G47)-Q47-P47^2)/P47)+G47/N47*(1-NORMSDIST((LN(G47)-Q47)/P47)))</f>
        <v>0.999771545500164</v>
      </c>
      <c r="S47" s="14" t="n">
        <f aca="false">IF(F47="—",0,H47*L47*M47*R47)</f>
        <v>29017.5324127328</v>
      </c>
      <c r="T47" s="18" t="n">
        <f aca="false">S47*sig_SAG</f>
        <v>1450.87662063664</v>
      </c>
      <c r="U47" s="14" t="n">
        <f aca="false">S47+T47</f>
        <v>30468.4090333694</v>
      </c>
      <c r="V47" s="14" t="n">
        <f aca="false">U47/(1-load_SAG)</f>
        <v>38567.6063713537</v>
      </c>
      <c r="W47" s="18" t="n">
        <f aca="false">V47*ea_SAG</f>
        <v>3856.76063713537</v>
      </c>
      <c r="X47" s="18" t="n">
        <f aca="false">V47*ec_SAG</f>
        <v>2699.73244599476</v>
      </c>
      <c r="Y47" s="18" t="n">
        <f aca="false">V47*m_SAG</f>
        <v>1542.70425485415</v>
      </c>
      <c r="Z47" s="18" t="n">
        <f aca="false">V47*tax_SAG</f>
        <v>385.676063713537</v>
      </c>
      <c r="AA47" s="19" t="n">
        <f aca="false">V47+Z47</f>
        <v>38953.2824350672</v>
      </c>
      <c r="AB47" s="40" t="n">
        <f aca="false">IF(G47&gt;0,S47/G47*1000,"n.a.")</f>
        <v>19.3450216084885</v>
      </c>
    </row>
    <row r="48" customFormat="false" ht="15" hidden="false" customHeight="false" outlineLevel="0" collapsed="false">
      <c r="A48" s="32" t="str">
        <f aca="false">B48&amp;"|"&amp;C48</f>
        <v>Administração|AMBUL</v>
      </c>
      <c r="B48" s="16" t="s">
        <v>329</v>
      </c>
      <c r="C48" s="7" t="s">
        <v>167</v>
      </c>
      <c r="D48" s="32" t="str">
        <f aca="false">INDEX(Cov_Nome,MATCH(C48,Cov_Cod,0))</f>
        <v>Transporte em Ambulância / Emergência Médica</v>
      </c>
      <c r="E48" s="32" t="str">
        <f aca="false">INDEX(Cov_Grupo,MATCH(C48,Cov_Cod,0))</f>
        <v>Principal</v>
      </c>
      <c r="F48" s="37" t="s">
        <v>296</v>
      </c>
      <c r="G48" s="35" t="n">
        <v>800000</v>
      </c>
      <c r="H48" s="40" t="n">
        <f aca="false">INDEX(Cov_Lambda,MATCH(C48,Cov_Cod,0))</f>
        <v>0.018</v>
      </c>
      <c r="I48" s="18" t="n">
        <f aca="false">INDEX(Cov_Mu,MATCH(C48,Cov_Cod,0))</f>
        <v>76000</v>
      </c>
      <c r="J48" s="40" t="n">
        <f aca="false">IF(INDEX(Cov_FR,MATCH(C48,Cov_Cod,0))="S",INDEX(PF_Factor,MATCH("SAG|"&amp;B48,PF_Key,0)),1)</f>
        <v>1</v>
      </c>
      <c r="K48" s="18" t="n">
        <f aca="false">IF(C48="HOSP_INT",los_int,IF(C48="HOSP_CIR",los_cir,0))*MAX(0,room_ref*J48-INDEX(PF_Room,MATCH("SAG|"&amp;B48,PF_Key,0)))</f>
        <v>0</v>
      </c>
      <c r="L48" s="18" t="n">
        <f aca="false">MAX(0,I48*J48-K48)</f>
        <v>76000</v>
      </c>
      <c r="M48" s="40" t="n">
        <f aca="false">f_trend</f>
        <v>1.182194</v>
      </c>
      <c r="N48" s="18" t="n">
        <f aca="false">H48*L48*M48/(1-EXP(-H48))</f>
        <v>90657.7905449887</v>
      </c>
      <c r="O48" s="44" t="n">
        <f aca="false">INDEX(Cov_CV,MATCH(C48,Cov_Cod,0))</f>
        <v>0.6</v>
      </c>
      <c r="P48" s="40" t="n">
        <f aca="false">SQRT(LN(1+O48^2))</f>
        <v>0.554513029376191</v>
      </c>
      <c r="Q48" s="40" t="n">
        <f aca="false">LN(N48)-P48^2/2</f>
        <v>11.2611048035428</v>
      </c>
      <c r="R48" s="40" t="n">
        <f aca="false">IF(G48&lt;=0,1,NORMSDIST((LN(G48)-Q48-P48^2)/P48)+G48/N48*(1-NORMSDIST((LN(G48)-Q48)/P48)))</f>
        <v>0.999984322688669</v>
      </c>
      <c r="S48" s="14" t="n">
        <f aca="false">IF(F48="—",0,H48*L48*M48*R48)</f>
        <v>1617.2160380032</v>
      </c>
      <c r="T48" s="18" t="n">
        <f aca="false">S48*sig_SAG</f>
        <v>80.86080190016</v>
      </c>
      <c r="U48" s="14" t="n">
        <f aca="false">S48+T48</f>
        <v>1698.07683990336</v>
      </c>
      <c r="V48" s="14" t="n">
        <f aca="false">U48/(1-load_SAG)</f>
        <v>2149.46435430805</v>
      </c>
      <c r="W48" s="18" t="n">
        <f aca="false">V48*ea_SAG</f>
        <v>214.946435430805</v>
      </c>
      <c r="X48" s="18" t="n">
        <f aca="false">V48*ec_SAG</f>
        <v>150.462504801564</v>
      </c>
      <c r="Y48" s="18" t="n">
        <f aca="false">V48*m_SAG</f>
        <v>85.978574172322</v>
      </c>
      <c r="Z48" s="18" t="n">
        <f aca="false">V48*tax_SAG</f>
        <v>21.4946435430805</v>
      </c>
      <c r="AA48" s="19" t="n">
        <f aca="false">V48+Z48</f>
        <v>2170.95899785113</v>
      </c>
      <c r="AB48" s="40" t="n">
        <f aca="false">IF(G48&gt;0,S48/G48*1000,"n.a.")</f>
        <v>2.021520047504</v>
      </c>
    </row>
    <row r="49" customFormat="false" ht="15" hidden="false" customHeight="false" outlineLevel="0" collapsed="false">
      <c r="A49" s="32" t="str">
        <f aca="false">B49&amp;"|"&amp;C49</f>
        <v>Administração|MED</v>
      </c>
      <c r="B49" s="16" t="s">
        <v>329</v>
      </c>
      <c r="C49" s="7" t="s">
        <v>172</v>
      </c>
      <c r="D49" s="32" t="str">
        <f aca="false">INDEX(Cov_Nome,MATCH(C49,Cov_Cod,0))</f>
        <v>Medicamentos em Ambulatório (Farmácia)</v>
      </c>
      <c r="E49" s="32" t="str">
        <f aca="false">INDEX(Cov_Grupo,MATCH(C49,Cov_Cod,0))</f>
        <v>Principal</v>
      </c>
      <c r="F49" s="37" t="s">
        <v>296</v>
      </c>
      <c r="G49" s="35" t="n">
        <v>1500000</v>
      </c>
      <c r="H49" s="40" t="n">
        <f aca="false">INDEX(Cov_Lambda,MATCH(C49,Cov_Cod,0))</f>
        <v>3.4</v>
      </c>
      <c r="I49" s="18" t="n">
        <f aca="false">INDEX(Cov_Mu,MATCH(C49,Cov_Cod,0))</f>
        <v>17400</v>
      </c>
      <c r="J49" s="40" t="n">
        <f aca="false">IF(INDEX(Cov_FR,MATCH(C49,Cov_Cod,0))="S",INDEX(PF_Factor,MATCH("SAG|"&amp;B49,PF_Key,0)),1)</f>
        <v>1</v>
      </c>
      <c r="K49" s="18" t="n">
        <f aca="false">IF(C49="HOSP_INT",los_int,IF(C49="HOSP_CIR",los_cir,0))*MAX(0,room_ref*J49-INDEX(PF_Room,MATCH("SAG|"&amp;B49,PF_Key,0)))</f>
        <v>0</v>
      </c>
      <c r="L49" s="18" t="n">
        <f aca="false">MAX(0,I49*J49-K49)</f>
        <v>17400</v>
      </c>
      <c r="M49" s="40" t="n">
        <f aca="false">f_trend</f>
        <v>1.182194</v>
      </c>
      <c r="N49" s="18" t="n">
        <f aca="false">H49*L49*M49/(1-EXP(-H49))</f>
        <v>72353.2619847265</v>
      </c>
      <c r="O49" s="44" t="n">
        <f aca="false">INDEX(Cov_CV,MATCH(C49,Cov_Cod,0))</f>
        <v>1.2</v>
      </c>
      <c r="P49" s="40" t="n">
        <f aca="false">SQRT(LN(1+O49^2))</f>
        <v>0.944456478248262</v>
      </c>
      <c r="Q49" s="40" t="n">
        <f aca="false">LN(N49)-P49^2/2</f>
        <v>10.7433167975652</v>
      </c>
      <c r="R49" s="40" t="n">
        <f aca="false">IF(G49&lt;=0,1,NORMSDIST((LN(G49)-Q49-P49^2)/P49)+G49/N49*(1-NORMSDIST((LN(G49)-Q49)/P49)))</f>
        <v>0.999303769587579</v>
      </c>
      <c r="S49" s="14" t="n">
        <f aca="false">IF(F49="—",0,H49*L49*M49*R49)</f>
        <v>69889.9036617387</v>
      </c>
      <c r="T49" s="18" t="n">
        <f aca="false">S49*sig_SAG</f>
        <v>3494.49518308693</v>
      </c>
      <c r="U49" s="14" t="n">
        <f aca="false">S49+T49</f>
        <v>73384.3988448256</v>
      </c>
      <c r="V49" s="14" t="n">
        <f aca="false">U49/(1-load_SAG)</f>
        <v>92891.6441073742</v>
      </c>
      <c r="W49" s="18" t="n">
        <f aca="false">V49*ea_SAG</f>
        <v>9289.16441073742</v>
      </c>
      <c r="X49" s="18" t="n">
        <f aca="false">V49*ec_SAG</f>
        <v>6502.4150875162</v>
      </c>
      <c r="Y49" s="18" t="n">
        <f aca="false">V49*m_SAG</f>
        <v>3715.66576429497</v>
      </c>
      <c r="Z49" s="18" t="n">
        <f aca="false">V49*tax_SAG</f>
        <v>928.916441073742</v>
      </c>
      <c r="AA49" s="19" t="n">
        <f aca="false">V49+Z49</f>
        <v>93820.560548448</v>
      </c>
      <c r="AB49" s="40" t="n">
        <f aca="false">IF(G49&gt;0,S49/G49*1000,"n.a.")</f>
        <v>46.5932691078258</v>
      </c>
    </row>
    <row r="50" customFormat="false" ht="15" hidden="false" customHeight="false" outlineLevel="0" collapsed="false">
      <c r="A50" s="32" t="str">
        <f aca="false">B50&amp;"|"&amp;C50</f>
        <v>Administração|DENT</v>
      </c>
      <c r="B50" s="16" t="s">
        <v>329</v>
      </c>
      <c r="C50" s="7" t="s">
        <v>176</v>
      </c>
      <c r="D50" s="32" t="str">
        <f aca="false">INDEX(Cov_Nome,MATCH(C50,Cov_Cod,0))</f>
        <v>Estomatologia (tratamentos)</v>
      </c>
      <c r="E50" s="32" t="str">
        <f aca="false">INDEX(Cov_Grupo,MATCH(C50,Cov_Cod,0))</f>
        <v>Extensão</v>
      </c>
      <c r="F50" s="37" t="s">
        <v>296</v>
      </c>
      <c r="G50" s="35" t="n">
        <v>1000000</v>
      </c>
      <c r="H50" s="40" t="n">
        <f aca="false">INDEX(Cov_Lambda,MATCH(C50,Cov_Cod,0))</f>
        <v>0.85</v>
      </c>
      <c r="I50" s="18" t="n">
        <f aca="false">INDEX(Cov_Mu,MATCH(C50,Cov_Cod,0))</f>
        <v>34500</v>
      </c>
      <c r="J50" s="40" t="n">
        <f aca="false">IF(INDEX(Cov_FR,MATCH(C50,Cov_Cod,0))="S",INDEX(PF_Factor,MATCH("SAG|"&amp;B50,PF_Key,0)),1)</f>
        <v>1.35</v>
      </c>
      <c r="K50" s="18" t="n">
        <f aca="false">IF(C50="HOSP_INT",los_int,IF(C50="HOSP_CIR",los_cir,0))*MAX(0,room_ref*J50-INDEX(PF_Room,MATCH("SAG|"&amp;B50,PF_Key,0)))</f>
        <v>0</v>
      </c>
      <c r="L50" s="18" t="n">
        <f aca="false">MAX(0,I50*J50-K50)</f>
        <v>46575</v>
      </c>
      <c r="M50" s="40" t="n">
        <f aca="false">f_trend</f>
        <v>1.182194</v>
      </c>
      <c r="N50" s="18" t="n">
        <f aca="false">H50*L50*M50/(1-EXP(-H50))</f>
        <v>81737.3440714822</v>
      </c>
      <c r="O50" s="44" t="n">
        <f aca="false">INDEX(Cov_CV,MATCH(C50,Cov_Cod,0))</f>
        <v>1</v>
      </c>
      <c r="P50" s="40" t="n">
        <f aca="false">SQRT(LN(1+O50^2))</f>
        <v>0.832554611157698</v>
      </c>
      <c r="Q50" s="40" t="n">
        <f aca="false">LN(N50)-P50^2/2</f>
        <v>10.9646926739136</v>
      </c>
      <c r="R50" s="40" t="n">
        <f aca="false">IF(G50&lt;=0,1,NORMSDIST((LN(G50)-Q50-P50^2)/P50)+G50/N50*(1-NORMSDIST((LN(G50)-Q50)/P50)))</f>
        <v>0.998996003973196</v>
      </c>
      <c r="S50" s="14" t="n">
        <f aca="false">IF(F50="—",0,H50*L50*M50*R50)</f>
        <v>46754.5941144035</v>
      </c>
      <c r="T50" s="18" t="n">
        <f aca="false">S50*sig_SAG</f>
        <v>2337.72970572018</v>
      </c>
      <c r="U50" s="14" t="n">
        <f aca="false">S50+T50</f>
        <v>49092.3238201237</v>
      </c>
      <c r="V50" s="14" t="n">
        <f aca="false">U50/(1-load_SAG)</f>
        <v>62142.1820507895</v>
      </c>
      <c r="W50" s="18" t="n">
        <f aca="false">V50*ea_SAG</f>
        <v>6214.21820507895</v>
      </c>
      <c r="X50" s="18" t="n">
        <f aca="false">V50*ec_SAG</f>
        <v>4349.95274355526</v>
      </c>
      <c r="Y50" s="18" t="n">
        <f aca="false">V50*m_SAG</f>
        <v>2485.68728203158</v>
      </c>
      <c r="Z50" s="18" t="n">
        <f aca="false">V50*tax_SAG</f>
        <v>621.421820507895</v>
      </c>
      <c r="AA50" s="19" t="n">
        <f aca="false">V50+Z50</f>
        <v>62763.6038712973</v>
      </c>
      <c r="AB50" s="40" t="n">
        <f aca="false">IF(G50&gt;0,S50/G50*1000,"n.a.")</f>
        <v>46.7545941144035</v>
      </c>
    </row>
    <row r="51" customFormat="false" ht="15" hidden="false" customHeight="false" outlineLevel="0" collapsed="false">
      <c r="A51" s="32" t="str">
        <f aca="false">B51&amp;"|"&amp;C51</f>
        <v>Administração|PROT</v>
      </c>
      <c r="B51" s="16" t="s">
        <v>329</v>
      </c>
      <c r="C51" s="7" t="s">
        <v>180</v>
      </c>
      <c r="D51" s="32" t="str">
        <f aca="false">INDEX(Cov_Nome,MATCH(C51,Cov_Cod,0))</f>
        <v>Próteses Dentárias</v>
      </c>
      <c r="E51" s="32" t="str">
        <f aca="false">INDEX(Cov_Grupo,MATCH(C51,Cov_Cod,0))</f>
        <v>Extensão</v>
      </c>
      <c r="F51" s="37" t="s">
        <v>296</v>
      </c>
      <c r="G51" s="35" t="n">
        <v>500000</v>
      </c>
      <c r="H51" s="40" t="n">
        <f aca="false">INDEX(Cov_Lambda,MATCH(C51,Cov_Cod,0))</f>
        <v>0.02</v>
      </c>
      <c r="I51" s="18" t="n">
        <f aca="false">INDEX(Cov_Mu,MATCH(C51,Cov_Cod,0))</f>
        <v>304000</v>
      </c>
      <c r="J51" s="40" t="n">
        <f aca="false">IF(INDEX(Cov_FR,MATCH(C51,Cov_Cod,0))="S",INDEX(PF_Factor,MATCH("SAG|"&amp;B51,PF_Key,0)),1)</f>
        <v>1</v>
      </c>
      <c r="K51" s="18" t="n">
        <f aca="false">IF(C51="HOSP_INT",los_int,IF(C51="HOSP_CIR",los_cir,0))*MAX(0,room_ref*J51-INDEX(PF_Room,MATCH("SAG|"&amp;B51,PF_Key,0)))</f>
        <v>0</v>
      </c>
      <c r="L51" s="18" t="n">
        <f aca="false">MAX(0,I51*J51-K51)</f>
        <v>304000</v>
      </c>
      <c r="M51" s="40" t="n">
        <f aca="false">f_trend</f>
        <v>1.182194</v>
      </c>
      <c r="N51" s="18" t="n">
        <f aca="false">H51*L51*M51/(1-EXP(-H51))</f>
        <v>362992.825246003</v>
      </c>
      <c r="O51" s="44" t="n">
        <f aca="false">INDEX(Cov_CV,MATCH(C51,Cov_Cod,0))</f>
        <v>0.7</v>
      </c>
      <c r="P51" s="40" t="n">
        <f aca="false">SQRT(LN(1+O51^2))</f>
        <v>0.631487228657372</v>
      </c>
      <c r="Q51" s="40" t="n">
        <f aca="false">LN(N51)-P51^2/2</f>
        <v>12.6027502879104</v>
      </c>
      <c r="R51" s="40" t="n">
        <f aca="false">IF(G51&lt;=0,1,NORMSDIST((LN(G51)-Q51-P51^2)/P51)+G51/N51*(1-NORMSDIST((LN(G51)-Q51)/P51)))</f>
        <v>0.85866265085822</v>
      </c>
      <c r="S51" s="14" t="n">
        <f aca="false">IF(F51="—",0,H51*L51*M51*R51)</f>
        <v>6171.84346992159</v>
      </c>
      <c r="T51" s="18" t="n">
        <f aca="false">S51*sig_SAG</f>
        <v>308.592173496079</v>
      </c>
      <c r="U51" s="14" t="n">
        <f aca="false">S51+T51</f>
        <v>6480.43564341766</v>
      </c>
      <c r="V51" s="14" t="n">
        <f aca="false">U51/(1-load_SAG)</f>
        <v>8203.08309293375</v>
      </c>
      <c r="W51" s="18" t="n">
        <f aca="false">V51*ea_SAG</f>
        <v>820.308309293375</v>
      </c>
      <c r="X51" s="18" t="n">
        <f aca="false">V51*ec_SAG</f>
        <v>574.215816505363</v>
      </c>
      <c r="Y51" s="18" t="n">
        <f aca="false">V51*m_SAG</f>
        <v>328.12332371735</v>
      </c>
      <c r="Z51" s="18" t="n">
        <f aca="false">V51*tax_SAG</f>
        <v>82.0308309293375</v>
      </c>
      <c r="AA51" s="19" t="n">
        <f aca="false">V51+Z51</f>
        <v>8285.11392386309</v>
      </c>
      <c r="AB51" s="40" t="n">
        <f aca="false">IF(G51&gt;0,S51/G51*1000,"n.a.")</f>
        <v>12.3436869398432</v>
      </c>
    </row>
    <row r="52" customFormat="false" ht="15" hidden="false" customHeight="false" outlineLevel="0" collapsed="false">
      <c r="A52" s="32" t="str">
        <f aca="false">B52&amp;"|"&amp;C52</f>
        <v>Administração|OPT</v>
      </c>
      <c r="B52" s="16" t="s">
        <v>329</v>
      </c>
      <c r="C52" s="7" t="s">
        <v>184</v>
      </c>
      <c r="D52" s="32" t="str">
        <f aca="false">INDEX(Cov_Nome,MATCH(C52,Cov_Cod,0))</f>
        <v>Óptica — Lentes e Armações</v>
      </c>
      <c r="E52" s="32" t="str">
        <f aca="false">INDEX(Cov_Grupo,MATCH(C52,Cov_Cod,0))</f>
        <v>Extensão</v>
      </c>
      <c r="F52" s="37" t="s">
        <v>296</v>
      </c>
      <c r="G52" s="35" t="n">
        <v>400000</v>
      </c>
      <c r="H52" s="40" t="n">
        <f aca="false">INDEX(Cov_Lambda,MATCH(C52,Cov_Cod,0))</f>
        <v>0.22</v>
      </c>
      <c r="I52" s="18" t="n">
        <f aca="false">INDEX(Cov_Mu,MATCH(C52,Cov_Cod,0))</f>
        <v>102500</v>
      </c>
      <c r="J52" s="40" t="n">
        <f aca="false">IF(INDEX(Cov_FR,MATCH(C52,Cov_Cod,0))="S",INDEX(PF_Factor,MATCH("SAG|"&amp;B52,PF_Key,0)),1)</f>
        <v>1</v>
      </c>
      <c r="K52" s="18" t="n">
        <f aca="false">IF(C52="HOSP_INT",los_int,IF(C52="HOSP_CIR",los_cir,0))*MAX(0,room_ref*J52-INDEX(PF_Room,MATCH("SAG|"&amp;B52,PF_Key,0)))</f>
        <v>0</v>
      </c>
      <c r="L52" s="18" t="n">
        <f aca="false">MAX(0,I52*J52-K52)</f>
        <v>102500</v>
      </c>
      <c r="M52" s="40" t="n">
        <f aca="false">f_trend</f>
        <v>1.182194</v>
      </c>
      <c r="N52" s="18" t="n">
        <f aca="false">H52*L52*M52/(1-EXP(-H52))</f>
        <v>134992.467257389</v>
      </c>
      <c r="O52" s="44" t="n">
        <f aca="false">INDEX(Cov_CV,MATCH(C52,Cov_Cod,0))</f>
        <v>0.5</v>
      </c>
      <c r="P52" s="40" t="n">
        <f aca="false">SQRT(LN(1+O52^2))</f>
        <v>0.472380727077439</v>
      </c>
      <c r="Q52" s="40" t="n">
        <f aca="false">LN(N52)-P52^2/2</f>
        <v>11.7014024821133</v>
      </c>
      <c r="R52" s="40" t="n">
        <f aca="false">IF(G52&lt;=0,1,NORMSDIST((LN(G52)-Q52-P52^2)/P52)+G52/N52*(1-NORMSDIST((LN(G52)-Q52)/P52)))</f>
        <v>0.99708537956704</v>
      </c>
      <c r="S52" s="14" t="n">
        <f aca="false">IF(F52="—",0,H52*L52*M52*R52)</f>
        <v>26580.7753649278</v>
      </c>
      <c r="T52" s="18" t="n">
        <f aca="false">S52*sig_SAG</f>
        <v>1329.03876824639</v>
      </c>
      <c r="U52" s="14" t="n">
        <f aca="false">S52+T52</f>
        <v>27909.8141331742</v>
      </c>
      <c r="V52" s="14" t="n">
        <f aca="false">U52/(1-load_SAG)</f>
        <v>35328.8786495876</v>
      </c>
      <c r="W52" s="18" t="n">
        <f aca="false">V52*ea_SAG</f>
        <v>3532.88786495876</v>
      </c>
      <c r="X52" s="18" t="n">
        <f aca="false">V52*ec_SAG</f>
        <v>2473.02150547113</v>
      </c>
      <c r="Y52" s="18" t="n">
        <f aca="false">V52*m_SAG</f>
        <v>1413.1551459835</v>
      </c>
      <c r="Z52" s="18" t="n">
        <f aca="false">V52*tax_SAG</f>
        <v>353.288786495876</v>
      </c>
      <c r="AA52" s="19" t="n">
        <f aca="false">V52+Z52</f>
        <v>35682.1674360835</v>
      </c>
      <c r="AB52" s="40" t="n">
        <f aca="false">IF(G52&gt;0,S52/G52*1000,"n.a.")</f>
        <v>66.4519384123196</v>
      </c>
    </row>
    <row r="53" customFormat="false" ht="15" hidden="false" customHeight="false" outlineLevel="0" collapsed="false">
      <c r="A53" s="32" t="str">
        <f aca="false">B53&amp;"|"&amp;C53</f>
        <v>Administração|PREV</v>
      </c>
      <c r="B53" s="16" t="s">
        <v>329</v>
      </c>
      <c r="C53" s="7" t="s">
        <v>188</v>
      </c>
      <c r="D53" s="32" t="str">
        <f aca="false">INDEX(Cov_Nome,MATCH(C53,Cov_Cod,0))</f>
        <v>Medicina Preventiva e Check-up Anual</v>
      </c>
      <c r="E53" s="32" t="str">
        <f aca="false">INDEX(Cov_Grupo,MATCH(C53,Cov_Cod,0))</f>
        <v>Extensão</v>
      </c>
      <c r="F53" s="37" t="s">
        <v>296</v>
      </c>
      <c r="G53" s="35" t="n">
        <v>350000</v>
      </c>
      <c r="H53" s="40" t="n">
        <f aca="false">INDEX(Cov_Lambda,MATCH(C53,Cov_Cod,0))</f>
        <v>0.55</v>
      </c>
      <c r="I53" s="18" t="n">
        <f aca="false">INDEX(Cov_Mu,MATCH(C53,Cov_Cod,0))</f>
        <v>76000</v>
      </c>
      <c r="J53" s="40" t="n">
        <f aca="false">IF(INDEX(Cov_FR,MATCH(C53,Cov_Cod,0))="S",INDEX(PF_Factor,MATCH("SAG|"&amp;B53,PF_Key,0)),1)</f>
        <v>1</v>
      </c>
      <c r="K53" s="18" t="n">
        <f aca="false">IF(C53="HOSP_INT",los_int,IF(C53="HOSP_CIR",los_cir,0))*MAX(0,room_ref*J53-INDEX(PF_Room,MATCH("SAG|"&amp;B53,PF_Key,0)))</f>
        <v>0</v>
      </c>
      <c r="L53" s="18" t="n">
        <f aca="false">MAX(0,I53*J53-K53)</f>
        <v>76000</v>
      </c>
      <c r="M53" s="40" t="n">
        <f aca="false">f_trend</f>
        <v>1.182194</v>
      </c>
      <c r="N53" s="18" t="n">
        <f aca="false">H53*L53*M53/(1-EXP(-H53))</f>
        <v>116808.14809336</v>
      </c>
      <c r="O53" s="44" t="n">
        <f aca="false">INDEX(Cov_CV,MATCH(C53,Cov_Cod,0))</f>
        <v>0.3</v>
      </c>
      <c r="P53" s="40" t="n">
        <f aca="false">SQRT(LN(1+O53^2))</f>
        <v>0.293560379208524</v>
      </c>
      <c r="Q53" s="40" t="n">
        <f aca="false">LN(N53)-P53^2/2</f>
        <v>11.6251992598958</v>
      </c>
      <c r="R53" s="40" t="n">
        <f aca="false">IF(G53&lt;=0,1,NORMSDIST((LN(G53)-Q53-P53^2)/P53)+G53/N53*(1-NORMSDIST((LN(G53)-Q53)/P53)))</f>
        <v>0.999988880729907</v>
      </c>
      <c r="S53" s="14" t="n">
        <f aca="false">IF(F53="—",0,H53*L53*M53*R53)</f>
        <v>49415.1597333826</v>
      </c>
      <c r="T53" s="18" t="n">
        <f aca="false">S53*sig_SAG</f>
        <v>2470.75798666913</v>
      </c>
      <c r="U53" s="14" t="n">
        <f aca="false">S53+T53</f>
        <v>51885.9177200517</v>
      </c>
      <c r="V53" s="14" t="n">
        <f aca="false">U53/(1-load_SAG)</f>
        <v>65678.3768608249</v>
      </c>
      <c r="W53" s="18" t="n">
        <f aca="false">V53*ea_SAG</f>
        <v>6567.83768608249</v>
      </c>
      <c r="X53" s="18" t="n">
        <f aca="false">V53*ec_SAG</f>
        <v>4597.48638025775</v>
      </c>
      <c r="Y53" s="18" t="n">
        <f aca="false">V53*m_SAG</f>
        <v>2627.135074433</v>
      </c>
      <c r="Z53" s="18" t="n">
        <f aca="false">V53*tax_SAG</f>
        <v>656.783768608249</v>
      </c>
      <c r="AA53" s="19" t="n">
        <f aca="false">V53+Z53</f>
        <v>66335.1606294332</v>
      </c>
      <c r="AB53" s="40" t="n">
        <f aca="false">IF(G53&gt;0,S53/G53*1000,"n.a.")</f>
        <v>141.186170666807</v>
      </c>
    </row>
    <row r="54" customFormat="false" ht="15" hidden="false" customHeight="false" outlineLevel="0" collapsed="false">
      <c r="A54" s="32" t="str">
        <f aca="false">B54&amp;"|"&amp;C54</f>
        <v>Administração|EVAC</v>
      </c>
      <c r="B54" s="16" t="s">
        <v>329</v>
      </c>
      <c r="C54" s="7" t="s">
        <v>192</v>
      </c>
      <c r="D54" s="32" t="str">
        <f aca="false">INDEX(Cov_Nome,MATCH(C54,Cov_Cod,0))</f>
        <v>Evacuação Médica e Cobertura no Estrangeiro</v>
      </c>
      <c r="E54" s="32" t="str">
        <f aca="false">INDEX(Cov_Grupo,MATCH(C54,Cov_Cod,0))</f>
        <v>Extensão</v>
      </c>
      <c r="F54" s="37" t="s">
        <v>296</v>
      </c>
      <c r="G54" s="35" t="n">
        <v>150000000</v>
      </c>
      <c r="H54" s="40" t="n">
        <f aca="false">INDEX(Cov_Lambda,MATCH(C54,Cov_Cod,0))</f>
        <v>0.0012</v>
      </c>
      <c r="I54" s="18" t="n">
        <f aca="false">INDEX(Cov_Mu,MATCH(C54,Cov_Cod,0))</f>
        <v>44700960</v>
      </c>
      <c r="J54" s="40" t="n">
        <f aca="false">IF(INDEX(Cov_FR,MATCH(C54,Cov_Cod,0))="S",INDEX(PF_Factor,MATCH("SAG|"&amp;B54,PF_Key,0)),1)</f>
        <v>1</v>
      </c>
      <c r="K54" s="18" t="n">
        <f aca="false">IF(C54="HOSP_INT",los_int,IF(C54="HOSP_CIR",los_cir,0))*MAX(0,room_ref*J54-INDEX(PF_Room,MATCH("SAG|"&amp;B54,PF_Key,0)))</f>
        <v>0</v>
      </c>
      <c r="L54" s="18" t="n">
        <f aca="false">MAX(0,I54*J54-K54)</f>
        <v>44700960</v>
      </c>
      <c r="M54" s="40" t="n">
        <f aca="false">f_trend</f>
        <v>1.182194</v>
      </c>
      <c r="N54" s="18" t="n">
        <f aca="false">H54*L54*M54/(1-EXP(-H54))</f>
        <v>52876920.171689</v>
      </c>
      <c r="O54" s="44" t="n">
        <f aca="false">INDEX(Cov_CV,MATCH(C54,Cov_Cod,0))</f>
        <v>1</v>
      </c>
      <c r="P54" s="40" t="n">
        <f aca="false">SQRT(LN(1+O54^2))</f>
        <v>0.832554611157698</v>
      </c>
      <c r="Q54" s="40" t="n">
        <f aca="false">LN(N54)-P54^2/2</f>
        <v>17.4369039196952</v>
      </c>
      <c r="R54" s="40" t="n">
        <f aca="false">IF(G54&lt;=0,1,NORMSDIST((LN(G54)-Q54-P54^2)/P54)+G54/N54*(1-NORMSDIST((LN(G54)-Q54)/P54)))</f>
        <v>0.933461161838517</v>
      </c>
      <c r="S54" s="14" t="n">
        <f aca="false">IF(F54="—",0,H54*L54*M54*R54)</f>
        <v>59194.737659524</v>
      </c>
      <c r="T54" s="18" t="n">
        <f aca="false">S54*sig_SAG</f>
        <v>2959.7368829762</v>
      </c>
      <c r="U54" s="14" t="n">
        <f aca="false">S54+T54</f>
        <v>62154.4745425002</v>
      </c>
      <c r="V54" s="14" t="n">
        <f aca="false">U54/(1-load_SAG)</f>
        <v>78676.5500537978</v>
      </c>
      <c r="W54" s="18" t="n">
        <f aca="false">V54*ea_SAG</f>
        <v>7867.65500537978</v>
      </c>
      <c r="X54" s="18" t="n">
        <f aca="false">V54*ec_SAG</f>
        <v>5507.35850376584</v>
      </c>
      <c r="Y54" s="18" t="n">
        <f aca="false">V54*m_SAG</f>
        <v>3147.06200215191</v>
      </c>
      <c r="Z54" s="18" t="n">
        <f aca="false">V54*tax_SAG</f>
        <v>786.765500537978</v>
      </c>
      <c r="AA54" s="19" t="n">
        <f aca="false">V54+Z54</f>
        <v>79463.3155543357</v>
      </c>
      <c r="AB54" s="40" t="n">
        <f aca="false">IF(G54&gt;0,S54/G54*1000,"n.a.")</f>
        <v>0.394631584396827</v>
      </c>
    </row>
    <row r="55" customFormat="false" ht="15" hidden="false" customHeight="false" outlineLevel="0" collapsed="false">
      <c r="A55" s="32" t="str">
        <f aca="false">B55&amp;"|"&amp;C55</f>
        <v>Administração|ONCO</v>
      </c>
      <c r="B55" s="16" t="s">
        <v>329</v>
      </c>
      <c r="C55" s="7" t="s">
        <v>196</v>
      </c>
      <c r="D55" s="32" t="str">
        <f aca="false">INDEX(Cov_Nome,MATCH(C55,Cov_Cod,0))</f>
        <v>Doenças Graves — Oncologia</v>
      </c>
      <c r="E55" s="32" t="str">
        <f aca="false">INDEX(Cov_Grupo,MATCH(C55,Cov_Cod,0))</f>
        <v>Extensão</v>
      </c>
      <c r="F55" s="37" t="s">
        <v>297</v>
      </c>
      <c r="G55" s="35" t="n">
        <v>60000000</v>
      </c>
      <c r="H55" s="40" t="n">
        <f aca="false">INDEX(Cov_Lambda,MATCH(C55,Cov_Cod,0))</f>
        <v>0.00055</v>
      </c>
      <c r="I55" s="18" t="n">
        <f aca="false">INDEX(Cov_Mu,MATCH(C55,Cov_Cod,0))</f>
        <v>18400000</v>
      </c>
      <c r="J55" s="40" t="n">
        <f aca="false">IF(INDEX(Cov_FR,MATCH(C55,Cov_Cod,0))="S",INDEX(PF_Factor,MATCH("SAG|"&amp;B55,PF_Key,0)),1)</f>
        <v>1</v>
      </c>
      <c r="K55" s="18" t="n">
        <f aca="false">IF(C55="HOSP_INT",los_int,IF(C55="HOSP_CIR",los_cir,0))*MAX(0,room_ref*J55-INDEX(PF_Room,MATCH("SAG|"&amp;B55,PF_Key,0)))</f>
        <v>0</v>
      </c>
      <c r="L55" s="18" t="n">
        <f aca="false">MAX(0,I55*J55-K55)</f>
        <v>18400000</v>
      </c>
      <c r="M55" s="40" t="n">
        <f aca="false">f_trend</f>
        <v>1.182194</v>
      </c>
      <c r="N55" s="18" t="n">
        <f aca="false">H55*L55*M55/(1-EXP(-H55))</f>
        <v>21758352.0499812</v>
      </c>
      <c r="O55" s="44" t="n">
        <f aca="false">INDEX(Cov_CV,MATCH(C55,Cov_Cod,0))</f>
        <v>1</v>
      </c>
      <c r="P55" s="40" t="n">
        <f aca="false">SQRT(LN(1+O55^2))</f>
        <v>0.832554611157698</v>
      </c>
      <c r="Q55" s="40" t="n">
        <f aca="false">LN(N55)-P55^2/2</f>
        <v>16.548934653807</v>
      </c>
      <c r="R55" s="40" t="n">
        <f aca="false">IF(G55&lt;=0,1,NORMSDIST((LN(G55)-Q55-P55^2)/P55)+G55/N55*(1-NORMSDIST((LN(G55)-Q55)/P55)))</f>
        <v>0.929555577111354</v>
      </c>
      <c r="S55" s="14" t="n">
        <f aca="false">IF(F55="—",0,H55*L55*M55*R55)</f>
        <v>11121.0200623871</v>
      </c>
      <c r="T55" s="18" t="n">
        <f aca="false">S55*sig_SAG</f>
        <v>556.051003119356</v>
      </c>
      <c r="U55" s="14" t="n">
        <f aca="false">S55+T55</f>
        <v>11677.0710655065</v>
      </c>
      <c r="V55" s="14" t="n">
        <f aca="false">U55/(1-load_SAG)</f>
        <v>14781.1026145651</v>
      </c>
      <c r="W55" s="18" t="n">
        <f aca="false">V55*ea_SAG</f>
        <v>1478.11026145651</v>
      </c>
      <c r="X55" s="18" t="n">
        <f aca="false">V55*ec_SAG</f>
        <v>1034.67718301956</v>
      </c>
      <c r="Y55" s="18" t="n">
        <f aca="false">V55*m_SAG</f>
        <v>591.244104582606</v>
      </c>
      <c r="Z55" s="18" t="n">
        <f aca="false">V55*tax_SAG</f>
        <v>147.811026145651</v>
      </c>
      <c r="AA55" s="19" t="n">
        <f aca="false">V55+Z55</f>
        <v>14928.9136407108</v>
      </c>
      <c r="AB55" s="40" t="n">
        <f aca="false">IF(G55&gt;0,S55/G55*1000,"n.a.")</f>
        <v>0.185350334373119</v>
      </c>
    </row>
    <row r="56" customFormat="false" ht="15" hidden="false" customHeight="false" outlineLevel="0" collapsed="false">
      <c r="A56" s="32" t="str">
        <f aca="false">B56&amp;"|"&amp;C56</f>
        <v>Administração|HEMO</v>
      </c>
      <c r="B56" s="16" t="s">
        <v>329</v>
      </c>
      <c r="C56" s="7" t="s">
        <v>200</v>
      </c>
      <c r="D56" s="32" t="str">
        <f aca="false">INDEX(Cov_Nome,MATCH(C56,Cov_Cod,0))</f>
        <v>Doenças Crónicas — Hemodiálise</v>
      </c>
      <c r="E56" s="32" t="str">
        <f aca="false">INDEX(Cov_Grupo,MATCH(C56,Cov_Cod,0))</f>
        <v>Extensão</v>
      </c>
      <c r="F56" s="37" t="s">
        <v>297</v>
      </c>
      <c r="G56" s="35" t="n">
        <v>30000000</v>
      </c>
      <c r="H56" s="40" t="n">
        <f aca="false">INDEX(Cov_Lambda,MATCH(C56,Cov_Cod,0))</f>
        <v>0.00025</v>
      </c>
      <c r="I56" s="18" t="n">
        <f aca="false">INDEX(Cov_Mu,MATCH(C56,Cov_Cod,0))</f>
        <v>14352000</v>
      </c>
      <c r="J56" s="40" t="n">
        <f aca="false">IF(INDEX(Cov_FR,MATCH(C56,Cov_Cod,0))="S",INDEX(PF_Factor,MATCH("SAG|"&amp;B56,PF_Key,0)),1)</f>
        <v>1</v>
      </c>
      <c r="K56" s="18" t="n">
        <f aca="false">IF(C56="HOSP_INT",los_int,IF(C56="HOSP_CIR",los_cir,0))*MAX(0,room_ref*J56-INDEX(PF_Room,MATCH("SAG|"&amp;B56,PF_Key,0)))</f>
        <v>0</v>
      </c>
      <c r="L56" s="18" t="n">
        <f aca="false">MAX(0,I56*J56-K56)</f>
        <v>14352000</v>
      </c>
      <c r="M56" s="40" t="n">
        <f aca="false">f_trend</f>
        <v>1.182194</v>
      </c>
      <c r="N56" s="18" t="n">
        <f aca="false">H56*L56*M56/(1-EXP(-H56))</f>
        <v>16968969.2324074</v>
      </c>
      <c r="O56" s="44" t="n">
        <f aca="false">INDEX(Cov_CV,MATCH(C56,Cov_Cod,0))</f>
        <v>0.4</v>
      </c>
      <c r="P56" s="40" t="n">
        <f aca="false">SQRT(LN(1+O56^2))</f>
        <v>0.385253170159927</v>
      </c>
      <c r="Q56" s="40" t="n">
        <f aca="false">LN(N56)-P56^2/2</f>
        <v>16.5726868922294</v>
      </c>
      <c r="R56" s="40" t="n">
        <f aca="false">IF(G56&lt;=0,1,NORMSDIST((LN(G56)-Q56-P56^2)/P56)+G56/N56*(1-NORMSDIST((LN(G56)-Q56)/P56)))</f>
        <v>0.984465056478975</v>
      </c>
      <c r="S56" s="14" t="n">
        <f aca="false">IF(F56="—",0,H56*L56*M56*R56)</f>
        <v>4175.81731452903</v>
      </c>
      <c r="T56" s="18" t="n">
        <f aca="false">S56*sig_SAG</f>
        <v>208.790865726451</v>
      </c>
      <c r="U56" s="14" t="n">
        <f aca="false">S56+T56</f>
        <v>4384.60818025548</v>
      </c>
      <c r="V56" s="14" t="n">
        <f aca="false">U56/(1-load_SAG)</f>
        <v>5550.13693703225</v>
      </c>
      <c r="W56" s="18" t="n">
        <f aca="false">V56*ea_SAG</f>
        <v>555.013693703225</v>
      </c>
      <c r="X56" s="18" t="n">
        <f aca="false">V56*ec_SAG</f>
        <v>388.509585592258</v>
      </c>
      <c r="Y56" s="18" t="n">
        <f aca="false">V56*m_SAG</f>
        <v>222.00547748129</v>
      </c>
      <c r="Z56" s="18" t="n">
        <f aca="false">V56*tax_SAG</f>
        <v>55.5013693703225</v>
      </c>
      <c r="AA56" s="19" t="n">
        <f aca="false">V56+Z56</f>
        <v>5605.63830640257</v>
      </c>
      <c r="AB56" s="40" t="n">
        <f aca="false">IF(G56&gt;0,S56/G56*1000,"n.a.")</f>
        <v>0.139193910484301</v>
      </c>
    </row>
    <row r="59" customFormat="false" ht="15" hidden="false" customHeight="false" outlineLevel="0" collapsed="false">
      <c r="A59" s="4" t="s">
        <v>301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customFormat="false" ht="48" hidden="false" customHeight="true" outlineLevel="0" collapsed="false">
      <c r="A60" s="6"/>
      <c r="B60" s="6" t="s">
        <v>37</v>
      </c>
      <c r="C60" s="6" t="s">
        <v>302</v>
      </c>
      <c r="D60" s="6" t="s">
        <v>303</v>
      </c>
      <c r="E60" s="6" t="s">
        <v>330</v>
      </c>
      <c r="F60" s="6" t="s">
        <v>331</v>
      </c>
      <c r="G60" s="6" t="s">
        <v>332</v>
      </c>
      <c r="H60" s="6" t="s">
        <v>333</v>
      </c>
      <c r="I60" s="6" t="s">
        <v>334</v>
      </c>
      <c r="J60" s="6" t="s">
        <v>335</v>
      </c>
      <c r="K60" s="6" t="s">
        <v>336</v>
      </c>
      <c r="L60" s="6" t="s">
        <v>337</v>
      </c>
      <c r="M60" s="6" t="s">
        <v>338</v>
      </c>
      <c r="N60" s="6" t="s">
        <v>339</v>
      </c>
      <c r="O60" s="6" t="s">
        <v>340</v>
      </c>
      <c r="P60" s="6" t="s">
        <v>341</v>
      </c>
      <c r="Q60" s="6" t="s">
        <v>342</v>
      </c>
      <c r="R60" s="6" t="s">
        <v>343</v>
      </c>
      <c r="S60" s="6" t="s">
        <v>344</v>
      </c>
      <c r="T60" s="6" t="s">
        <v>319</v>
      </c>
    </row>
    <row r="61" customFormat="false" ht="15" hidden="false" customHeight="false" outlineLevel="0" collapsed="false">
      <c r="B61" s="16" t="s">
        <v>38</v>
      </c>
      <c r="C61" s="7" t="s">
        <v>320</v>
      </c>
      <c r="D61" s="7" t="str">
        <f aca="false">C61&amp;"|"&amp;B61</f>
        <v>M|0-17</v>
      </c>
      <c r="E61" s="18" t="n">
        <f aca="false">SUMPRODUCT(--($F$6:$F$22="B"),$S$6:$S$22,INDEX(RelMatrix,0,MATCH($D61,Rel_Keys,0)))</f>
        <v>223391.219383228</v>
      </c>
      <c r="F61" s="18" t="n">
        <f aca="false">E61*(1+sig_SAG)</f>
        <v>234560.78035239</v>
      </c>
      <c r="G61" s="18" t="n">
        <f aca="false">F61/(1-load_SAG)</f>
        <v>296912.380192898</v>
      </c>
      <c r="H61" s="19" t="n">
        <f aca="false">G61*(1+tax_SAG)</f>
        <v>299881.503994827</v>
      </c>
      <c r="I61" s="18" t="n">
        <f aca="false">H61*(1+INDEX(Frac_Enc,4))/12</f>
        <v>25989.7303462184</v>
      </c>
      <c r="J61" s="18" t="n">
        <f aca="false">SUMPRODUCT(--($F$23:$F$39="B"),$S$23:$S$39,INDEX(RelMatrix,0,MATCH($D61,Rel_Keys,0)))</f>
        <v>269422.912113165</v>
      </c>
      <c r="K61" s="18" t="n">
        <f aca="false">J61*(1+sig_SAG)</f>
        <v>282894.057718823</v>
      </c>
      <c r="L61" s="18" t="n">
        <f aca="false">K61/(1-load_SAG)</f>
        <v>358093.743947877</v>
      </c>
      <c r="M61" s="19" t="n">
        <f aca="false">L61*(1+tax_SAG)</f>
        <v>361674.681387356</v>
      </c>
      <c r="N61" s="18" t="n">
        <f aca="false">M61*(1+INDEX(Frac_Enc,4))/12</f>
        <v>31345.1390535708</v>
      </c>
      <c r="O61" s="18" t="n">
        <f aca="false">SUMPRODUCT(--($F$40:$F$56="B"),$S$40:$S$56,INDEX(RelMatrix,0,MATCH($D61,Rel_Keys,0)))</f>
        <v>510379.770496478</v>
      </c>
      <c r="P61" s="18" t="n">
        <f aca="false">O61*(1+sig_SAG)</f>
        <v>535898.759021302</v>
      </c>
      <c r="Q61" s="18" t="n">
        <f aca="false">P61/(1-load_SAG)</f>
        <v>678352.859520635</v>
      </c>
      <c r="R61" s="19" t="n">
        <f aca="false">Q61*(1+tax_SAG)</f>
        <v>685136.388115841</v>
      </c>
      <c r="S61" s="18" t="n">
        <f aca="false">R61*(1+INDEX(Frac_Enc,4))/12</f>
        <v>59378.4869700396</v>
      </c>
      <c r="T61" s="29" t="n">
        <f aca="false">IF(C61="M",INDEX(Exp_M,MATCH(B61,Exp_Band,0)),INDEX(Exp_F,MATCH(B61,Exp_Band,0)))</f>
        <v>3200</v>
      </c>
    </row>
    <row r="62" customFormat="false" ht="15" hidden="false" customHeight="false" outlineLevel="0" collapsed="false">
      <c r="B62" s="21" t="s">
        <v>38</v>
      </c>
      <c r="C62" s="9" t="s">
        <v>321</v>
      </c>
      <c r="D62" s="9" t="str">
        <f aca="false">C62&amp;"|"&amp;B62</f>
        <v>F|0-17</v>
      </c>
      <c r="E62" s="46" t="n">
        <f aca="false">SUMPRODUCT(--($F$6:$F$22="B"),$S$6:$S$22,INDEX(RelMatrix,0,MATCH($D62,Rel_Keys,0)))</f>
        <v>216553.925910115</v>
      </c>
      <c r="F62" s="46" t="n">
        <f aca="false">E62*(1+sig_SAG)</f>
        <v>227381.622205621</v>
      </c>
      <c r="G62" s="46" t="n">
        <f aca="false">F62/(1-load_SAG)</f>
        <v>287824.838234963</v>
      </c>
      <c r="H62" s="19" t="n">
        <f aca="false">G62*(1+tax_SAG)</f>
        <v>290703.086617313</v>
      </c>
      <c r="I62" s="46" t="n">
        <f aca="false">H62*(1+INDEX(Frac_Enc,4))/12</f>
        <v>25194.2675068338</v>
      </c>
      <c r="J62" s="46" t="n">
        <f aca="false">SUMPRODUCT(--($F$23:$F$39="B"),$S$23:$S$39,INDEX(RelMatrix,0,MATCH($D62,Rel_Keys,0)))</f>
        <v>261576.772775605</v>
      </c>
      <c r="K62" s="46" t="n">
        <f aca="false">J62*(1+sig_SAG)</f>
        <v>274655.611414386</v>
      </c>
      <c r="L62" s="46" t="n">
        <f aca="false">K62/(1-load_SAG)</f>
        <v>347665.330904286</v>
      </c>
      <c r="M62" s="19" t="n">
        <f aca="false">L62*(1+tax_SAG)</f>
        <v>351141.984213328</v>
      </c>
      <c r="N62" s="46" t="n">
        <f aca="false">M62*(1+INDEX(Frac_Enc,4))/12</f>
        <v>30432.3052984885</v>
      </c>
      <c r="O62" s="46" t="n">
        <f aca="false">SUMPRODUCT(--($F$40:$F$56="B"),$S$40:$S$56,INDEX(RelMatrix,0,MATCH($D62,Rel_Keys,0)))</f>
        <v>501897.600391743</v>
      </c>
      <c r="P62" s="46" t="n">
        <f aca="false">O62*(1+sig_SAG)</f>
        <v>526992.48041133</v>
      </c>
      <c r="Q62" s="46" t="n">
        <f aca="false">P62/(1-load_SAG)</f>
        <v>667079.089128266</v>
      </c>
      <c r="R62" s="19" t="n">
        <f aca="false">Q62*(1+tax_SAG)</f>
        <v>673749.880019548</v>
      </c>
      <c r="S62" s="46" t="n">
        <f aca="false">R62*(1+INDEX(Frac_Enc,4))/12</f>
        <v>58391.6562683609</v>
      </c>
      <c r="T62" s="30" t="n">
        <f aca="false">IF(C62="M",INDEX(Exp_M,MATCH(B62,Exp_Band,0)),INDEX(Exp_F,MATCH(B62,Exp_Band,0)))</f>
        <v>3100</v>
      </c>
    </row>
    <row r="63" customFormat="false" ht="15" hidden="false" customHeight="false" outlineLevel="0" collapsed="false">
      <c r="B63" s="16" t="s">
        <v>39</v>
      </c>
      <c r="C63" s="7" t="s">
        <v>320</v>
      </c>
      <c r="D63" s="7" t="str">
        <f aca="false">C63&amp;"|"&amp;B63</f>
        <v>M|18-35</v>
      </c>
      <c r="E63" s="18" t="n">
        <f aca="false">SUMPRODUCT(--($F$6:$F$22="B"),$S$6:$S$22,INDEX(RelMatrix,0,MATCH($D63,Rel_Keys,0)))</f>
        <v>248491.851847699</v>
      </c>
      <c r="F63" s="18" t="n">
        <f aca="false">E63*(1+sig_SAG)</f>
        <v>260916.444440084</v>
      </c>
      <c r="G63" s="18" t="n">
        <f aca="false">F63/(1-load_SAG)</f>
        <v>330273.980303903</v>
      </c>
      <c r="H63" s="19" t="n">
        <f aca="false">G63*(1+tax_SAG)</f>
        <v>333576.720106942</v>
      </c>
      <c r="I63" s="18" t="n">
        <f aca="false">H63*(1+INDEX(Frac_Enc,4))/12</f>
        <v>28909.9824092683</v>
      </c>
      <c r="J63" s="18" t="n">
        <f aca="false">SUMPRODUCT(--($F$23:$F$39="B"),$S$23:$S$39,INDEX(RelMatrix,0,MATCH($D63,Rel_Keys,0)))</f>
        <v>302172.532926368</v>
      </c>
      <c r="K63" s="18" t="n">
        <f aca="false">J63*(1+sig_SAG)</f>
        <v>317281.159572686</v>
      </c>
      <c r="L63" s="18" t="n">
        <f aca="false">K63/(1-load_SAG)</f>
        <v>401621.720978083</v>
      </c>
      <c r="M63" s="19" t="n">
        <f aca="false">L63*(1+tax_SAG)</f>
        <v>405637.938187864</v>
      </c>
      <c r="N63" s="18" t="n">
        <f aca="false">M63*(1+INDEX(Frac_Enc,4))/12</f>
        <v>35155.2879762816</v>
      </c>
      <c r="O63" s="18" t="n">
        <f aca="false">SUMPRODUCT(--($F$40:$F$56="B"),$S$40:$S$56,INDEX(RelMatrix,0,MATCH($D63,Rel_Keys,0)))</f>
        <v>648409.688138092</v>
      </c>
      <c r="P63" s="18" t="n">
        <f aca="false">O63*(1+sig_SAG)</f>
        <v>680830.172544996</v>
      </c>
      <c r="Q63" s="18" t="n">
        <f aca="false">P63/(1-load_SAG)</f>
        <v>861810.344993666</v>
      </c>
      <c r="R63" s="19" t="n">
        <f aca="false">Q63*(1+tax_SAG)</f>
        <v>870428.448443603</v>
      </c>
      <c r="S63" s="18" t="n">
        <f aca="false">R63*(1+INDEX(Frac_Enc,4))/12</f>
        <v>75437.1321984456</v>
      </c>
      <c r="T63" s="29" t="n">
        <f aca="false">IF(C63="M",INDEX(Exp_M,MATCH(B63,Exp_Band,0)),INDEX(Exp_F,MATCH(B63,Exp_Band,0)))</f>
        <v>4600</v>
      </c>
    </row>
    <row r="64" customFormat="false" ht="15" hidden="false" customHeight="false" outlineLevel="0" collapsed="false">
      <c r="B64" s="21" t="s">
        <v>39</v>
      </c>
      <c r="C64" s="9" t="s">
        <v>321</v>
      </c>
      <c r="D64" s="9" t="str">
        <f aca="false">C64&amp;"|"&amp;B64</f>
        <v>F|18-35</v>
      </c>
      <c r="E64" s="46" t="n">
        <f aca="false">SUMPRODUCT(--($F$6:$F$22="B"),$S$6:$S$22,INDEX(RelMatrix,0,MATCH($D64,Rel_Keys,0)))</f>
        <v>375636.464695893</v>
      </c>
      <c r="F64" s="46" t="n">
        <f aca="false">E64*(1+sig_SAG)</f>
        <v>394418.287930687</v>
      </c>
      <c r="G64" s="46" t="n">
        <f aca="false">F64/(1-load_SAG)</f>
        <v>499263.655608465</v>
      </c>
      <c r="H64" s="19" t="n">
        <f aca="false">G64*(1+tax_SAG)</f>
        <v>504256.29216455</v>
      </c>
      <c r="I64" s="46" t="n">
        <f aca="false">H64*(1+INDEX(Frac_Enc,4))/12</f>
        <v>43702.2119875943</v>
      </c>
      <c r="J64" s="46" t="n">
        <f aca="false">SUMPRODUCT(--($F$23:$F$39="B"),$S$23:$S$39,INDEX(RelMatrix,0,MATCH($D64,Rel_Keys,0)))</f>
        <v>467233.647426654</v>
      </c>
      <c r="K64" s="46" t="n">
        <f aca="false">J64*(1+sig_SAG)</f>
        <v>490595.329797987</v>
      </c>
      <c r="L64" s="46" t="n">
        <f aca="false">K64/(1-load_SAG)</f>
        <v>621006.74657973</v>
      </c>
      <c r="M64" s="19" t="n">
        <f aca="false">L64*(1+tax_SAG)</f>
        <v>627216.814045528</v>
      </c>
      <c r="N64" s="46" t="n">
        <f aca="false">M64*(1+INDEX(Frac_Enc,4))/12</f>
        <v>54358.7905506124</v>
      </c>
      <c r="O64" s="46" t="n">
        <f aca="false">SUMPRODUCT(--($F$40:$F$56="B"),$S$40:$S$56,INDEX(RelMatrix,0,MATCH($D64,Rel_Keys,0)))</f>
        <v>917007.657564227</v>
      </c>
      <c r="P64" s="46" t="n">
        <f aca="false">O64*(1+sig_SAG)</f>
        <v>962858.040442439</v>
      </c>
      <c r="Q64" s="46" t="n">
        <f aca="false">P64/(1-load_SAG)</f>
        <v>1218807.64612967</v>
      </c>
      <c r="R64" s="19" t="n">
        <f aca="false">Q64*(1+tax_SAG)</f>
        <v>1230995.72259097</v>
      </c>
      <c r="S64" s="46" t="n">
        <f aca="false">R64*(1+INDEX(Frac_Enc,4))/12</f>
        <v>106686.295957884</v>
      </c>
      <c r="T64" s="30" t="n">
        <f aca="false">IF(C64="M",INDEX(Exp_M,MATCH(B64,Exp_Band,0)),INDEX(Exp_F,MATCH(B64,Exp_Band,0)))</f>
        <v>4200</v>
      </c>
    </row>
    <row r="65" customFormat="false" ht="15" hidden="false" customHeight="false" outlineLevel="0" collapsed="false">
      <c r="B65" s="16" t="s">
        <v>40</v>
      </c>
      <c r="C65" s="7" t="s">
        <v>320</v>
      </c>
      <c r="D65" s="7" t="str">
        <f aca="false">C65&amp;"|"&amp;B65</f>
        <v>M|36-50</v>
      </c>
      <c r="E65" s="18" t="n">
        <f aca="false">SUMPRODUCT(--($F$6:$F$22="B"),$S$6:$S$22,INDEX(RelMatrix,0,MATCH($D65,Rel_Keys,0)))</f>
        <v>333158.542909374</v>
      </c>
      <c r="F65" s="18" t="n">
        <f aca="false">E65*(1+sig_SAG)</f>
        <v>349816.470054843</v>
      </c>
      <c r="G65" s="18" t="n">
        <f aca="false">F65/(1-load_SAG)</f>
        <v>442805.658297269</v>
      </c>
      <c r="H65" s="19" t="n">
        <f aca="false">G65*(1+tax_SAG)</f>
        <v>447233.714880242</v>
      </c>
      <c r="I65" s="18" t="n">
        <f aca="false">H65*(1+INDEX(Frac_Enc,4))/12</f>
        <v>38760.255289621</v>
      </c>
      <c r="J65" s="18" t="n">
        <f aca="false">SUMPRODUCT(--($F$23:$F$39="B"),$S$23:$S$39,INDEX(RelMatrix,0,MATCH($D65,Rel_Keys,0)))</f>
        <v>406707.240522443</v>
      </c>
      <c r="K65" s="18" t="n">
        <f aca="false">J65*(1+sig_SAG)</f>
        <v>427042.602548565</v>
      </c>
      <c r="L65" s="18" t="n">
        <f aca="false">K65/(1-load_SAG)</f>
        <v>540560.256390589</v>
      </c>
      <c r="M65" s="19" t="n">
        <f aca="false">L65*(1+tax_SAG)</f>
        <v>545965.858954494</v>
      </c>
      <c r="N65" s="18" t="n">
        <f aca="false">M65*(1+INDEX(Frac_Enc,4))/12</f>
        <v>47317.0411093895</v>
      </c>
      <c r="O65" s="18" t="n">
        <f aca="false">SUMPRODUCT(--($F$40:$F$56="B"),$S$40:$S$56,INDEX(RelMatrix,0,MATCH($D65,Rel_Keys,0)))</f>
        <v>907213.753718634</v>
      </c>
      <c r="P65" s="18" t="n">
        <f aca="false">O65*(1+sig_SAG)</f>
        <v>952574.441404565</v>
      </c>
      <c r="Q65" s="18" t="n">
        <f aca="false">P65/(1-load_SAG)</f>
        <v>1205790.43215768</v>
      </c>
      <c r="R65" s="19" t="n">
        <f aca="false">Q65*(1+tax_SAG)</f>
        <v>1217848.33647925</v>
      </c>
      <c r="S65" s="18" t="n">
        <f aca="false">R65*(1+INDEX(Frac_Enc,4))/12</f>
        <v>105546.855828202</v>
      </c>
      <c r="T65" s="29" t="n">
        <f aca="false">IF(C65="M",INDEX(Exp_M,MATCH(B65,Exp_Band,0)),INDEX(Exp_F,MATCH(B65,Exp_Band,0)))</f>
        <v>3300</v>
      </c>
    </row>
    <row r="66" customFormat="false" ht="15" hidden="false" customHeight="false" outlineLevel="0" collapsed="false">
      <c r="B66" s="21" t="s">
        <v>40</v>
      </c>
      <c r="C66" s="9" t="s">
        <v>321</v>
      </c>
      <c r="D66" s="9" t="str">
        <f aca="false">C66&amp;"|"&amp;B66</f>
        <v>F|36-50</v>
      </c>
      <c r="E66" s="46" t="n">
        <f aca="false">SUMPRODUCT(--($F$6:$F$22="B"),$S$6:$S$22,INDEX(RelMatrix,0,MATCH($D66,Rel_Keys,0)))</f>
        <v>398362.593898749</v>
      </c>
      <c r="F66" s="46" t="n">
        <f aca="false">E66*(1+sig_SAG)</f>
        <v>418280.723593686</v>
      </c>
      <c r="G66" s="46" t="n">
        <f aca="false">F66/(1-load_SAG)</f>
        <v>529469.270371755</v>
      </c>
      <c r="H66" s="19" t="n">
        <f aca="false">G66*(1+tax_SAG)</f>
        <v>534763.963075472</v>
      </c>
      <c r="I66" s="46" t="n">
        <f aca="false">H66*(1+INDEX(Frac_Enc,4))/12</f>
        <v>46346.2101332076</v>
      </c>
      <c r="J66" s="46" t="n">
        <f aca="false">SUMPRODUCT(--($F$23:$F$39="B"),$S$23:$S$39,INDEX(RelMatrix,0,MATCH($D66,Rel_Keys,0)))</f>
        <v>488101.275315318</v>
      </c>
      <c r="K66" s="46" t="n">
        <f aca="false">J66*(1+sig_SAG)</f>
        <v>512506.339081084</v>
      </c>
      <c r="L66" s="46" t="n">
        <f aca="false">K66/(1-load_SAG)</f>
        <v>648742.201368461</v>
      </c>
      <c r="M66" s="19" t="n">
        <f aca="false">L66*(1+tax_SAG)</f>
        <v>655229.623382145</v>
      </c>
      <c r="N66" s="46" t="n">
        <f aca="false">M66*(1+INDEX(Frac_Enc,4))/12</f>
        <v>56786.5673597859</v>
      </c>
      <c r="O66" s="46" t="n">
        <f aca="false">SUMPRODUCT(--($F$40:$F$56="B"),$S$40:$S$56,INDEX(RelMatrix,0,MATCH($D66,Rel_Keys,0)))</f>
        <v>1037990.10260345</v>
      </c>
      <c r="P66" s="46" t="n">
        <f aca="false">O66*(1+sig_SAG)</f>
        <v>1089889.60773362</v>
      </c>
      <c r="Q66" s="46" t="n">
        <f aca="false">P66/(1-load_SAG)</f>
        <v>1379607.09839699</v>
      </c>
      <c r="R66" s="19" t="n">
        <f aca="false">Q66*(1+tax_SAG)</f>
        <v>1393403.16938096</v>
      </c>
      <c r="S66" s="46" t="n">
        <f aca="false">R66*(1+INDEX(Frac_Enc,4))/12</f>
        <v>120761.608013016</v>
      </c>
      <c r="T66" s="30" t="n">
        <f aca="false">IF(C66="M",INDEX(Exp_M,MATCH(B66,Exp_Band,0)),INDEX(Exp_F,MATCH(B66,Exp_Band,0)))</f>
        <v>2700</v>
      </c>
    </row>
    <row r="67" customFormat="false" ht="15" hidden="false" customHeight="false" outlineLevel="0" collapsed="false">
      <c r="B67" s="16" t="s">
        <v>41</v>
      </c>
      <c r="C67" s="7" t="s">
        <v>320</v>
      </c>
      <c r="D67" s="7" t="str">
        <f aca="false">C67&amp;"|"&amp;B67</f>
        <v>M|51-65</v>
      </c>
      <c r="E67" s="18" t="n">
        <f aca="false">SUMPRODUCT(--($F$6:$F$22="B"),$S$6:$S$22,INDEX(RelMatrix,0,MATCH($D67,Rel_Keys,0)))</f>
        <v>488266.252263903</v>
      </c>
      <c r="F67" s="18" t="n">
        <f aca="false">E67*(1+sig_SAG)</f>
        <v>512679.564877098</v>
      </c>
      <c r="G67" s="18" t="n">
        <f aca="false">F67/(1-load_SAG)</f>
        <v>648961.474527972</v>
      </c>
      <c r="H67" s="19" t="n">
        <f aca="false">G67*(1+tax_SAG)</f>
        <v>655451.089273252</v>
      </c>
      <c r="I67" s="18" t="n">
        <f aca="false">H67*(1+INDEX(Frac_Enc,4))/12</f>
        <v>56805.7610703485</v>
      </c>
      <c r="J67" s="18" t="n">
        <f aca="false">SUMPRODUCT(--($F$23:$F$39="B"),$S$23:$S$39,INDEX(RelMatrix,0,MATCH($D67,Rel_Keys,0)))</f>
        <v>598835.791813219</v>
      </c>
      <c r="K67" s="18" t="n">
        <f aca="false">J67*(1+sig_SAG)</f>
        <v>628777.58140388</v>
      </c>
      <c r="L67" s="18" t="n">
        <f aca="false">K67/(1-load_SAG)</f>
        <v>795920.989118836</v>
      </c>
      <c r="M67" s="19" t="n">
        <f aca="false">L67*(1+tax_SAG)</f>
        <v>803880.199010024</v>
      </c>
      <c r="N67" s="18" t="n">
        <f aca="false">M67*(1+INDEX(Frac_Enc,4))/12</f>
        <v>69669.6172475354</v>
      </c>
      <c r="O67" s="18" t="n">
        <f aca="false">SUMPRODUCT(--($F$40:$F$56="B"),$S$40:$S$56,INDEX(RelMatrix,0,MATCH($D67,Rel_Keys,0)))</f>
        <v>1329119.86493686</v>
      </c>
      <c r="P67" s="18" t="n">
        <f aca="false">O67*(1+sig_SAG)</f>
        <v>1395575.8581837</v>
      </c>
      <c r="Q67" s="18" t="n">
        <f aca="false">P67/(1-load_SAG)</f>
        <v>1766551.71921987</v>
      </c>
      <c r="R67" s="19" t="n">
        <f aca="false">Q67*(1+tax_SAG)</f>
        <v>1784217.23641207</v>
      </c>
      <c r="S67" s="18" t="n">
        <f aca="false">R67*(1+INDEX(Frac_Enc,4))/12</f>
        <v>154632.160489046</v>
      </c>
      <c r="T67" s="29" t="n">
        <f aca="false">IF(C67="M",INDEX(Exp_M,MATCH(B67,Exp_Band,0)),INDEX(Exp_F,MATCH(B67,Exp_Band,0)))</f>
        <v>1500</v>
      </c>
    </row>
    <row r="68" customFormat="false" ht="15" hidden="false" customHeight="false" outlineLevel="0" collapsed="false">
      <c r="B68" s="21" t="s">
        <v>41</v>
      </c>
      <c r="C68" s="9" t="s">
        <v>321</v>
      </c>
      <c r="D68" s="9" t="str">
        <f aca="false">C68&amp;"|"&amp;B68</f>
        <v>F|51-65</v>
      </c>
      <c r="E68" s="46" t="n">
        <f aca="false">SUMPRODUCT(--($F$6:$F$22="B"),$S$6:$S$22,INDEX(RelMatrix,0,MATCH($D68,Rel_Keys,0)))</f>
        <v>488785.109606846</v>
      </c>
      <c r="F68" s="46" t="n">
        <f aca="false">E68*(1+sig_SAG)</f>
        <v>513224.365087189</v>
      </c>
      <c r="G68" s="46" t="n">
        <f aca="false">F68/(1-load_SAG)</f>
        <v>649651.095047074</v>
      </c>
      <c r="H68" s="19" t="n">
        <f aca="false">G68*(1+tax_SAG)</f>
        <v>656147.605997545</v>
      </c>
      <c r="I68" s="46" t="n">
        <f aca="false">H68*(1+INDEX(Frac_Enc,4))/12</f>
        <v>56866.1258531206</v>
      </c>
      <c r="J68" s="46" t="n">
        <f aca="false">SUMPRODUCT(--($F$23:$F$39="B"),$S$23:$S$39,INDEX(RelMatrix,0,MATCH($D68,Rel_Keys,0)))</f>
        <v>596803.504823165</v>
      </c>
      <c r="K68" s="46" t="n">
        <f aca="false">J68*(1+sig_SAG)</f>
        <v>626643.680064323</v>
      </c>
      <c r="L68" s="46" t="n">
        <f aca="false">K68/(1-load_SAG)</f>
        <v>793219.848182687</v>
      </c>
      <c r="M68" s="19" t="n">
        <f aca="false">L68*(1+tax_SAG)</f>
        <v>801152.046664514</v>
      </c>
      <c r="N68" s="46" t="n">
        <f aca="false">M68*(1+INDEX(Frac_Enc,4))/12</f>
        <v>69433.1773775912</v>
      </c>
      <c r="O68" s="46" t="n">
        <f aca="false">SUMPRODUCT(--($F$40:$F$56="B"),$S$40:$S$56,INDEX(RelMatrix,0,MATCH($D68,Rel_Keys,0)))</f>
        <v>1325737.58467821</v>
      </c>
      <c r="P68" s="46" t="n">
        <f aca="false">O68*(1+sig_SAG)</f>
        <v>1392024.46391212</v>
      </c>
      <c r="Q68" s="46" t="n">
        <f aca="false">P68/(1-load_SAG)</f>
        <v>1762056.28343306</v>
      </c>
      <c r="R68" s="19" t="n">
        <f aca="false">Q68*(1+tax_SAG)</f>
        <v>1779676.84626739</v>
      </c>
      <c r="S68" s="46" t="n">
        <f aca="false">R68*(1+INDEX(Frac_Enc,4))/12</f>
        <v>154238.660009841</v>
      </c>
      <c r="T68" s="30" t="n">
        <f aca="false">IF(C68="M",INDEX(Exp_M,MATCH(B68,Exp_Band,0)),INDEX(Exp_F,MATCH(B68,Exp_Band,0)))</f>
        <v>1200</v>
      </c>
    </row>
    <row r="69" customFormat="false" ht="15" hidden="false" customHeight="false" outlineLevel="0" collapsed="false">
      <c r="B69" s="16" t="s">
        <v>42</v>
      </c>
      <c r="C69" s="7" t="s">
        <v>320</v>
      </c>
      <c r="D69" s="7" t="str">
        <f aca="false">C69&amp;"|"&amp;B69</f>
        <v>M|&gt;65</v>
      </c>
      <c r="E69" s="18" t="n">
        <f aca="false">SUMPRODUCT(--($F$6:$F$22="B"),$S$6:$S$22,INDEX(RelMatrix,0,MATCH($D69,Rel_Keys,0)))</f>
        <v>669700.773850106</v>
      </c>
      <c r="F69" s="18" t="n">
        <f aca="false">E69*(1+sig_SAG)</f>
        <v>703185.812542611</v>
      </c>
      <c r="G69" s="18" t="n">
        <f aca="false">F69/(1-load_SAG)</f>
        <v>890108.623471659</v>
      </c>
      <c r="H69" s="19" t="n">
        <f aca="false">G69*(1+tax_SAG)</f>
        <v>899009.709706376</v>
      </c>
      <c r="I69" s="18" t="n">
        <f aca="false">H69*(1+INDEX(Frac_Enc,4))/12</f>
        <v>77914.1748412192</v>
      </c>
      <c r="J69" s="18" t="n">
        <f aca="false">SUMPRODUCT(--($F$23:$F$39="B"),$S$23:$S$39,INDEX(RelMatrix,0,MATCH($D69,Rel_Keys,0)))</f>
        <v>825987.899847621</v>
      </c>
      <c r="K69" s="18" t="n">
        <f aca="false">J69*(1+sig_SAG)</f>
        <v>867287.294840003</v>
      </c>
      <c r="L69" s="18" t="n">
        <f aca="false">K69/(1-load_SAG)</f>
        <v>1097832.01878481</v>
      </c>
      <c r="M69" s="19" t="n">
        <f aca="false">L69*(1+tax_SAG)</f>
        <v>1108810.33897266</v>
      </c>
      <c r="N69" s="18" t="n">
        <f aca="false">M69*(1+INDEX(Frac_Enc,4))/12</f>
        <v>96096.8960442973</v>
      </c>
      <c r="O69" s="18" t="n">
        <f aca="false">SUMPRODUCT(--($F$40:$F$56="B"),$S$40:$S$56,INDEX(RelMatrix,0,MATCH($D69,Rel_Keys,0)))</f>
        <v>1750348.34738247</v>
      </c>
      <c r="P69" s="18" t="n">
        <f aca="false">O69*(1+sig_SAG)</f>
        <v>1837865.7647516</v>
      </c>
      <c r="Q69" s="18" t="n">
        <f aca="false">P69/(1-load_SAG)</f>
        <v>2326412.36044506</v>
      </c>
      <c r="R69" s="19" t="n">
        <f aca="false">Q69*(1+tax_SAG)</f>
        <v>2349676.48404951</v>
      </c>
      <c r="S69" s="18" t="n">
        <f aca="false">R69*(1+INDEX(Frac_Enc,4))/12</f>
        <v>203638.628617624</v>
      </c>
      <c r="T69" s="29" t="n">
        <f aca="false">IF(C69="M",INDEX(Exp_M,MATCH(B69,Exp_Band,0)),INDEX(Exp_F,MATCH(B69,Exp_Band,0)))</f>
        <v>450</v>
      </c>
    </row>
    <row r="70" customFormat="false" ht="15" hidden="false" customHeight="false" outlineLevel="0" collapsed="false">
      <c r="B70" s="21" t="s">
        <v>42</v>
      </c>
      <c r="C70" s="9" t="s">
        <v>321</v>
      </c>
      <c r="D70" s="9" t="str">
        <f aca="false">C70&amp;"|"&amp;B70</f>
        <v>F|&gt;65</v>
      </c>
      <c r="E70" s="46" t="n">
        <f aca="false">SUMPRODUCT(--($F$6:$F$22="B"),$S$6:$S$22,INDEX(RelMatrix,0,MATCH($D70,Rel_Keys,0)))</f>
        <v>645320.069820597</v>
      </c>
      <c r="F70" s="46" t="n">
        <f aca="false">E70*(1+sig_SAG)</f>
        <v>677586.073311626</v>
      </c>
      <c r="G70" s="46" t="n">
        <f aca="false">F70/(1-load_SAG)</f>
        <v>857703.890267881</v>
      </c>
      <c r="H70" s="19" t="n">
        <f aca="false">G70*(1+tax_SAG)</f>
        <v>866280.92917056</v>
      </c>
      <c r="I70" s="46" t="n">
        <f aca="false">H70*(1+INDEX(Frac_Enc,4))/12</f>
        <v>75077.6805281152</v>
      </c>
      <c r="J70" s="46" t="n">
        <f aca="false">SUMPRODUCT(--($F$23:$F$39="B"),$S$23:$S$39,INDEX(RelMatrix,0,MATCH($D70,Rel_Keys,0)))</f>
        <v>793019.495690674</v>
      </c>
      <c r="K70" s="46" t="n">
        <f aca="false">J70*(1+sig_SAG)</f>
        <v>832670.470475207</v>
      </c>
      <c r="L70" s="46" t="n">
        <f aca="false">K70/(1-load_SAG)</f>
        <v>1054013.25376609</v>
      </c>
      <c r="M70" s="19" t="n">
        <f aca="false">L70*(1+tax_SAG)</f>
        <v>1064553.38630375</v>
      </c>
      <c r="N70" s="46" t="n">
        <f aca="false">M70*(1+INDEX(Frac_Enc,4))/12</f>
        <v>92261.293479658</v>
      </c>
      <c r="O70" s="46" t="n">
        <f aca="false">SUMPRODUCT(--($F$40:$F$56="B"),$S$40:$S$56,INDEX(RelMatrix,0,MATCH($D70,Rel_Keys,0)))</f>
        <v>1697319.61942237</v>
      </c>
      <c r="P70" s="46" t="n">
        <f aca="false">O70*(1+sig_SAG)</f>
        <v>1782185.60039349</v>
      </c>
      <c r="Q70" s="46" t="n">
        <f aca="false">P70/(1-load_SAG)</f>
        <v>2255931.13973859</v>
      </c>
      <c r="R70" s="19" t="n">
        <f aca="false">Q70*(1+tax_SAG)</f>
        <v>2278490.45113598</v>
      </c>
      <c r="S70" s="46" t="n">
        <f aca="false">R70*(1+INDEX(Frac_Enc,4))/12</f>
        <v>197469.172431785</v>
      </c>
      <c r="T70" s="30" t="n">
        <f aca="false">IF(C70="M",INDEX(Exp_M,MATCH(B70,Exp_Band,0)),INDEX(Exp_F,MATCH(B70,Exp_Band,0)))</f>
        <v>400</v>
      </c>
    </row>
    <row r="71" customFormat="false" ht="15" hidden="false" customHeight="false" outlineLevel="0" collapsed="false">
      <c r="B71" s="16" t="s">
        <v>322</v>
      </c>
      <c r="C71" s="7"/>
      <c r="D71" s="7"/>
      <c r="E71" s="49" t="n">
        <f aca="false">SUMPRODUCT(E61:E70,$T$61:$T$70)/SUM($T$61:$T$70)</f>
        <v>331048.349849179</v>
      </c>
      <c r="F71" s="49" t="n">
        <f aca="false">SUMPRODUCT(F61:F70,$T$61:$T$70)/SUM($T$61:$T$70)</f>
        <v>347600.767341638</v>
      </c>
      <c r="G71" s="49" t="n">
        <f aca="false">SUMPRODUCT(G61:G70,$T$61:$T$70)/SUM($T$61:$T$70)</f>
        <v>440000.971318529</v>
      </c>
      <c r="H71" s="49" t="n">
        <f aca="false">SUMPRODUCT(H61:H70,$T$61:$T$70)/SUM($T$61:$T$70)</f>
        <v>444400.981031714</v>
      </c>
      <c r="I71" s="49" t="n">
        <f aca="false">SUMPRODUCT(I61:I70,$T$61:$T$70)/SUM($T$61:$T$70)</f>
        <v>38514.7516894152</v>
      </c>
      <c r="J71" s="49" t="n">
        <f aca="false">SUMPRODUCT(J61:J70,$T$61:$T$70)/SUM($T$61:$T$70)</f>
        <v>405222.875002454</v>
      </c>
      <c r="K71" s="49" t="n">
        <f aca="false">SUMPRODUCT(K61:K70,$T$61:$T$70)/SUM($T$61:$T$70)</f>
        <v>425484.018752577</v>
      </c>
      <c r="L71" s="49" t="n">
        <f aca="false">SUMPRODUCT(L61:L70,$T$61:$T$70)/SUM($T$61:$T$70)</f>
        <v>538587.365509591</v>
      </c>
      <c r="M71" s="49" t="n">
        <f aca="false">SUMPRODUCT(M61:M70,$T$61:$T$70)/SUM($T$61:$T$70)</f>
        <v>543973.239164686</v>
      </c>
      <c r="N71" s="49" t="n">
        <f aca="false">SUMPRODUCT(N61:N70,$T$61:$T$70)/SUM($T$61:$T$70)</f>
        <v>47144.3473942728</v>
      </c>
      <c r="O71" s="49" t="n">
        <f aca="false">SUMPRODUCT(O61:O70,$T$61:$T$70)/SUM($T$61:$T$70)</f>
        <v>846683.274702601</v>
      </c>
      <c r="P71" s="49" t="n">
        <f aca="false">SUMPRODUCT(P61:P70,$T$61:$T$70)/SUM($T$61:$T$70)</f>
        <v>889017.438437731</v>
      </c>
      <c r="Q71" s="49" t="n">
        <f aca="false">SUMPRODUCT(Q61:Q70,$T$61:$T$70)/SUM($T$61:$T$70)</f>
        <v>1125338.52966801</v>
      </c>
      <c r="R71" s="49" t="n">
        <f aca="false">SUMPRODUCT(R61:R70,$T$61:$T$70)/SUM($T$61:$T$70)</f>
        <v>1136591.91496469</v>
      </c>
      <c r="S71" s="49" t="n">
        <f aca="false">SUMPRODUCT(S61:S70,$T$61:$T$70)/SUM($T$61:$T$70)</f>
        <v>98504.6326302735</v>
      </c>
      <c r="T71" s="31" t="n">
        <f aca="false">SUM(T61:T70)</f>
        <v>24650</v>
      </c>
    </row>
    <row r="74" customFormat="false" ht="15" hidden="false" customHeight="false" outlineLevel="0" collapsed="false">
      <c r="A74" s="4" t="s">
        <v>323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customFormat="false" ht="31.5" hidden="false" customHeight="true" outlineLevel="0" collapsed="false">
      <c r="B75" s="6"/>
      <c r="C75" s="6" t="s">
        <v>118</v>
      </c>
      <c r="D75" s="50" t="s">
        <v>327</v>
      </c>
      <c r="E75" s="50"/>
      <c r="F75" s="50"/>
      <c r="G75" s="50"/>
      <c r="H75" s="50"/>
      <c r="I75" s="50" t="s">
        <v>328</v>
      </c>
      <c r="J75" s="50"/>
      <c r="K75" s="50"/>
      <c r="L75" s="50"/>
      <c r="M75" s="50"/>
      <c r="N75" s="50" t="s">
        <v>329</v>
      </c>
      <c r="O75" s="50"/>
      <c r="P75" s="50"/>
      <c r="Q75" s="50"/>
      <c r="R75" s="50"/>
    </row>
    <row r="76" customFormat="false" ht="19.5" hidden="false" customHeight="true" outlineLevel="0" collapsed="false">
      <c r="B76" s="6" t="s">
        <v>45</v>
      </c>
      <c r="C76" s="6" t="s">
        <v>118</v>
      </c>
      <c r="D76" s="6" t="s">
        <v>38</v>
      </c>
      <c r="E76" s="6" t="s">
        <v>39</v>
      </c>
      <c r="F76" s="6" t="s">
        <v>40</v>
      </c>
      <c r="G76" s="6" t="s">
        <v>41</v>
      </c>
      <c r="H76" s="6" t="s">
        <v>42</v>
      </c>
      <c r="I76" s="6" t="s">
        <v>38</v>
      </c>
      <c r="J76" s="6" t="s">
        <v>39</v>
      </c>
      <c r="K76" s="6" t="s">
        <v>40</v>
      </c>
      <c r="L76" s="6" t="s">
        <v>41</v>
      </c>
      <c r="M76" s="6" t="s">
        <v>42</v>
      </c>
      <c r="N76" s="6" t="s">
        <v>38</v>
      </c>
      <c r="O76" s="6" t="s">
        <v>39</v>
      </c>
      <c r="P76" s="6" t="s">
        <v>40</v>
      </c>
      <c r="Q76" s="6" t="s">
        <v>41</v>
      </c>
      <c r="R76" s="6" t="s">
        <v>42</v>
      </c>
    </row>
    <row r="77" customFormat="false" ht="15" hidden="false" customHeight="false" outlineLevel="0" collapsed="false">
      <c r="B77" s="16" t="s">
        <v>132</v>
      </c>
      <c r="C77" s="32" t="str">
        <f aca="false">INDEX(Cov_Nome,MATCH(B77,Cov_Cod,0))</f>
        <v>Internamento Hospitalar Médico (incl. malária grave)</v>
      </c>
      <c r="D77" s="51" t="str">
        <f aca="false">IF(INDEX(SAG_Status,MATCH("Colaboradores|"&amp;$B77,SAG_Key,0))="O",INDEX(SAG_PP,MATCH("Colaboradores|"&amp;$B77,SAG_Key,0))*INDEX(RelUni,MATCH($B77,Cov_Cod,0),1)*(1+sig_SAG)/(1-load_SAG)*(1+tax_SAG),IF(INDEX(SAG_Status,MATCH("Colaboradores|"&amp;$B77,SAG_Key,0))="B","Incluída","n.d."))</f>
        <v>Incluída</v>
      </c>
      <c r="E77" s="51" t="str">
        <f aca="false">IF(INDEX(SAG_Status,MATCH("Colaboradores|"&amp;$B77,SAG_Key,0))="O",INDEX(SAG_PP,MATCH("Colaboradores|"&amp;$B77,SAG_Key,0))*INDEX(RelUni,MATCH($B77,Cov_Cod,0),2)*(1+sig_SAG)/(1-load_SAG)*(1+tax_SAG),IF(INDEX(SAG_Status,MATCH("Colaboradores|"&amp;$B77,SAG_Key,0))="B","Incluída","n.d."))</f>
        <v>Incluída</v>
      </c>
      <c r="F77" s="51" t="str">
        <f aca="false">IF(INDEX(SAG_Status,MATCH("Colaboradores|"&amp;$B77,SAG_Key,0))="O",INDEX(SAG_PP,MATCH("Colaboradores|"&amp;$B77,SAG_Key,0))*INDEX(RelUni,MATCH($B77,Cov_Cod,0),3)*(1+sig_SAG)/(1-load_SAG)*(1+tax_SAG),IF(INDEX(SAG_Status,MATCH("Colaboradores|"&amp;$B77,SAG_Key,0))="B","Incluída","n.d."))</f>
        <v>Incluída</v>
      </c>
      <c r="G77" s="51" t="str">
        <f aca="false">IF(INDEX(SAG_Status,MATCH("Colaboradores|"&amp;$B77,SAG_Key,0))="O",INDEX(SAG_PP,MATCH("Colaboradores|"&amp;$B77,SAG_Key,0))*INDEX(RelUni,MATCH($B77,Cov_Cod,0),4)*(1+sig_SAG)/(1-load_SAG)*(1+tax_SAG),IF(INDEX(SAG_Status,MATCH("Colaboradores|"&amp;$B77,SAG_Key,0))="B","Incluída","n.d."))</f>
        <v>Incluída</v>
      </c>
      <c r="H77" s="51" t="str">
        <f aca="false">IF(INDEX(SAG_Status,MATCH("Colaboradores|"&amp;$B77,SAG_Key,0))="O",INDEX(SAG_PP,MATCH("Colaboradores|"&amp;$B77,SAG_Key,0))*INDEX(RelUni,MATCH($B77,Cov_Cod,0),5)*(1+sig_SAG)/(1-load_SAG)*(1+tax_SAG),IF(INDEX(SAG_Status,MATCH("Colaboradores|"&amp;$B77,SAG_Key,0))="B","Incluída","n.d."))</f>
        <v>Incluída</v>
      </c>
      <c r="I77" s="51" t="str">
        <f aca="false">IF(INDEX(SAG_Status,MATCH("Quadros Médios|"&amp;$B77,SAG_Key,0))="O",INDEX(SAG_PP,MATCH("Quadros Médios|"&amp;$B77,SAG_Key,0))*INDEX(RelUni,MATCH($B77,Cov_Cod,0),1)*(1+sig_SAG)/(1-load_SAG)*(1+tax_SAG),IF(INDEX(SAG_Status,MATCH("Quadros Médios|"&amp;$B77,SAG_Key,0))="B","Incluída","n.d."))</f>
        <v>Incluída</v>
      </c>
      <c r="J77" s="51" t="str">
        <f aca="false">IF(INDEX(SAG_Status,MATCH("Quadros Médios|"&amp;$B77,SAG_Key,0))="O",INDEX(SAG_PP,MATCH("Quadros Médios|"&amp;$B77,SAG_Key,0))*INDEX(RelUni,MATCH($B77,Cov_Cod,0),2)*(1+sig_SAG)/(1-load_SAG)*(1+tax_SAG),IF(INDEX(SAG_Status,MATCH("Quadros Médios|"&amp;$B77,SAG_Key,0))="B","Incluída","n.d."))</f>
        <v>Incluída</v>
      </c>
      <c r="K77" s="51" t="str">
        <f aca="false">IF(INDEX(SAG_Status,MATCH("Quadros Médios|"&amp;$B77,SAG_Key,0))="O",INDEX(SAG_PP,MATCH("Quadros Médios|"&amp;$B77,SAG_Key,0))*INDEX(RelUni,MATCH($B77,Cov_Cod,0),3)*(1+sig_SAG)/(1-load_SAG)*(1+tax_SAG),IF(INDEX(SAG_Status,MATCH("Quadros Médios|"&amp;$B77,SAG_Key,0))="B","Incluída","n.d."))</f>
        <v>Incluída</v>
      </c>
      <c r="L77" s="51" t="str">
        <f aca="false">IF(INDEX(SAG_Status,MATCH("Quadros Médios|"&amp;$B77,SAG_Key,0))="O",INDEX(SAG_PP,MATCH("Quadros Médios|"&amp;$B77,SAG_Key,0))*INDEX(RelUni,MATCH($B77,Cov_Cod,0),4)*(1+sig_SAG)/(1-load_SAG)*(1+tax_SAG),IF(INDEX(SAG_Status,MATCH("Quadros Médios|"&amp;$B77,SAG_Key,0))="B","Incluída","n.d."))</f>
        <v>Incluída</v>
      </c>
      <c r="M77" s="51" t="str">
        <f aca="false">IF(INDEX(SAG_Status,MATCH("Quadros Médios|"&amp;$B77,SAG_Key,0))="O",INDEX(SAG_PP,MATCH("Quadros Médios|"&amp;$B77,SAG_Key,0))*INDEX(RelUni,MATCH($B77,Cov_Cod,0),5)*(1+sig_SAG)/(1-load_SAG)*(1+tax_SAG),IF(INDEX(SAG_Status,MATCH("Quadros Médios|"&amp;$B77,SAG_Key,0))="B","Incluída","n.d."))</f>
        <v>Incluída</v>
      </c>
      <c r="N77" s="51" t="str">
        <f aca="false">IF(INDEX(SAG_Status,MATCH("Administração|"&amp;$B77,SAG_Key,0))="O",INDEX(SAG_PP,MATCH("Administração|"&amp;$B77,SAG_Key,0))*INDEX(RelUni,MATCH($B77,Cov_Cod,0),1)*(1+sig_SAG)/(1-load_SAG)*(1+tax_SAG),IF(INDEX(SAG_Status,MATCH("Administração|"&amp;$B77,SAG_Key,0))="B","Incluída","n.d."))</f>
        <v>Incluída</v>
      </c>
      <c r="O77" s="51" t="str">
        <f aca="false">IF(INDEX(SAG_Status,MATCH("Administração|"&amp;$B77,SAG_Key,0))="O",INDEX(SAG_PP,MATCH("Administração|"&amp;$B77,SAG_Key,0))*INDEX(RelUni,MATCH($B77,Cov_Cod,0),2)*(1+sig_SAG)/(1-load_SAG)*(1+tax_SAG),IF(INDEX(SAG_Status,MATCH("Administração|"&amp;$B77,SAG_Key,0))="B","Incluída","n.d."))</f>
        <v>Incluída</v>
      </c>
      <c r="P77" s="51" t="str">
        <f aca="false">IF(INDEX(SAG_Status,MATCH("Administração|"&amp;$B77,SAG_Key,0))="O",INDEX(SAG_PP,MATCH("Administração|"&amp;$B77,SAG_Key,0))*INDEX(RelUni,MATCH($B77,Cov_Cod,0),3)*(1+sig_SAG)/(1-load_SAG)*(1+tax_SAG),IF(INDEX(SAG_Status,MATCH("Administração|"&amp;$B77,SAG_Key,0))="B","Incluída","n.d."))</f>
        <v>Incluída</v>
      </c>
      <c r="Q77" s="51" t="str">
        <f aca="false">IF(INDEX(SAG_Status,MATCH("Administração|"&amp;$B77,SAG_Key,0))="O",INDEX(SAG_PP,MATCH("Administração|"&amp;$B77,SAG_Key,0))*INDEX(RelUni,MATCH($B77,Cov_Cod,0),4)*(1+sig_SAG)/(1-load_SAG)*(1+tax_SAG),IF(INDEX(SAG_Status,MATCH("Administração|"&amp;$B77,SAG_Key,0))="B","Incluída","n.d."))</f>
        <v>Incluída</v>
      </c>
      <c r="R77" s="51" t="str">
        <f aca="false">IF(INDEX(SAG_Status,MATCH("Administração|"&amp;$B77,SAG_Key,0))="O",INDEX(SAG_PP,MATCH("Administração|"&amp;$B77,SAG_Key,0))*INDEX(RelUni,MATCH($B77,Cov_Cod,0),5)*(1+sig_SAG)/(1-load_SAG)*(1+tax_SAG),IF(INDEX(SAG_Status,MATCH("Administração|"&amp;$B77,SAG_Key,0))="B","Incluída","n.d."))</f>
        <v>Incluída</v>
      </c>
    </row>
    <row r="78" customFormat="false" ht="15" hidden="false" customHeight="false" outlineLevel="0" collapsed="false">
      <c r="B78" s="21" t="s">
        <v>139</v>
      </c>
      <c r="C78" s="38" t="str">
        <f aca="false">INDEX(Cov_Nome,MATCH(B78,Cov_Cod,0))</f>
        <v>Cirurgia (com internamento e de ambulatório)</v>
      </c>
      <c r="D78" s="52" t="str">
        <f aca="false">IF(INDEX(SAG_Status,MATCH("Colaboradores|"&amp;$B78,SAG_Key,0))="O",INDEX(SAG_PP,MATCH("Colaboradores|"&amp;$B78,SAG_Key,0))*INDEX(RelUni,MATCH($B78,Cov_Cod,0),1)*(1+sig_SAG)/(1-load_SAG)*(1+tax_SAG),IF(INDEX(SAG_Status,MATCH("Colaboradores|"&amp;$B78,SAG_Key,0))="B","Incluída","n.d."))</f>
        <v>Incluída</v>
      </c>
      <c r="E78" s="52" t="str">
        <f aca="false">IF(INDEX(SAG_Status,MATCH("Colaboradores|"&amp;$B78,SAG_Key,0))="O",INDEX(SAG_PP,MATCH("Colaboradores|"&amp;$B78,SAG_Key,0))*INDEX(RelUni,MATCH($B78,Cov_Cod,0),2)*(1+sig_SAG)/(1-load_SAG)*(1+tax_SAG),IF(INDEX(SAG_Status,MATCH("Colaboradores|"&amp;$B78,SAG_Key,0))="B","Incluída","n.d."))</f>
        <v>Incluída</v>
      </c>
      <c r="F78" s="52" t="str">
        <f aca="false">IF(INDEX(SAG_Status,MATCH("Colaboradores|"&amp;$B78,SAG_Key,0))="O",INDEX(SAG_PP,MATCH("Colaboradores|"&amp;$B78,SAG_Key,0))*INDEX(RelUni,MATCH($B78,Cov_Cod,0),3)*(1+sig_SAG)/(1-load_SAG)*(1+tax_SAG),IF(INDEX(SAG_Status,MATCH("Colaboradores|"&amp;$B78,SAG_Key,0))="B","Incluída","n.d."))</f>
        <v>Incluída</v>
      </c>
      <c r="G78" s="52" t="str">
        <f aca="false">IF(INDEX(SAG_Status,MATCH("Colaboradores|"&amp;$B78,SAG_Key,0))="O",INDEX(SAG_PP,MATCH("Colaboradores|"&amp;$B78,SAG_Key,0))*INDEX(RelUni,MATCH($B78,Cov_Cod,0),4)*(1+sig_SAG)/(1-load_SAG)*(1+tax_SAG),IF(INDEX(SAG_Status,MATCH("Colaboradores|"&amp;$B78,SAG_Key,0))="B","Incluída","n.d."))</f>
        <v>Incluída</v>
      </c>
      <c r="H78" s="52" t="str">
        <f aca="false">IF(INDEX(SAG_Status,MATCH("Colaboradores|"&amp;$B78,SAG_Key,0))="O",INDEX(SAG_PP,MATCH("Colaboradores|"&amp;$B78,SAG_Key,0))*INDEX(RelUni,MATCH($B78,Cov_Cod,0),5)*(1+sig_SAG)/(1-load_SAG)*(1+tax_SAG),IF(INDEX(SAG_Status,MATCH("Colaboradores|"&amp;$B78,SAG_Key,0))="B","Incluída","n.d."))</f>
        <v>Incluída</v>
      </c>
      <c r="I78" s="52" t="str">
        <f aca="false">IF(INDEX(SAG_Status,MATCH("Quadros Médios|"&amp;$B78,SAG_Key,0))="O",INDEX(SAG_PP,MATCH("Quadros Médios|"&amp;$B78,SAG_Key,0))*INDEX(RelUni,MATCH($B78,Cov_Cod,0),1)*(1+sig_SAG)/(1-load_SAG)*(1+tax_SAG),IF(INDEX(SAG_Status,MATCH("Quadros Médios|"&amp;$B78,SAG_Key,0))="B","Incluída","n.d."))</f>
        <v>Incluída</v>
      </c>
      <c r="J78" s="52" t="str">
        <f aca="false">IF(INDEX(SAG_Status,MATCH("Quadros Médios|"&amp;$B78,SAG_Key,0))="O",INDEX(SAG_PP,MATCH("Quadros Médios|"&amp;$B78,SAG_Key,0))*INDEX(RelUni,MATCH($B78,Cov_Cod,0),2)*(1+sig_SAG)/(1-load_SAG)*(1+tax_SAG),IF(INDEX(SAG_Status,MATCH("Quadros Médios|"&amp;$B78,SAG_Key,0))="B","Incluída","n.d."))</f>
        <v>Incluída</v>
      </c>
      <c r="K78" s="52" t="str">
        <f aca="false">IF(INDEX(SAG_Status,MATCH("Quadros Médios|"&amp;$B78,SAG_Key,0))="O",INDEX(SAG_PP,MATCH("Quadros Médios|"&amp;$B78,SAG_Key,0))*INDEX(RelUni,MATCH($B78,Cov_Cod,0),3)*(1+sig_SAG)/(1-load_SAG)*(1+tax_SAG),IF(INDEX(SAG_Status,MATCH("Quadros Médios|"&amp;$B78,SAG_Key,0))="B","Incluída","n.d."))</f>
        <v>Incluída</v>
      </c>
      <c r="L78" s="52" t="str">
        <f aca="false">IF(INDEX(SAG_Status,MATCH("Quadros Médios|"&amp;$B78,SAG_Key,0))="O",INDEX(SAG_PP,MATCH("Quadros Médios|"&amp;$B78,SAG_Key,0))*INDEX(RelUni,MATCH($B78,Cov_Cod,0),4)*(1+sig_SAG)/(1-load_SAG)*(1+tax_SAG),IF(INDEX(SAG_Status,MATCH("Quadros Médios|"&amp;$B78,SAG_Key,0))="B","Incluída","n.d."))</f>
        <v>Incluída</v>
      </c>
      <c r="M78" s="52" t="str">
        <f aca="false">IF(INDEX(SAG_Status,MATCH("Quadros Médios|"&amp;$B78,SAG_Key,0))="O",INDEX(SAG_PP,MATCH("Quadros Médios|"&amp;$B78,SAG_Key,0))*INDEX(RelUni,MATCH($B78,Cov_Cod,0),5)*(1+sig_SAG)/(1-load_SAG)*(1+tax_SAG),IF(INDEX(SAG_Status,MATCH("Quadros Médios|"&amp;$B78,SAG_Key,0))="B","Incluída","n.d."))</f>
        <v>Incluída</v>
      </c>
      <c r="N78" s="52" t="str">
        <f aca="false">IF(INDEX(SAG_Status,MATCH("Administração|"&amp;$B78,SAG_Key,0))="O",INDEX(SAG_PP,MATCH("Administração|"&amp;$B78,SAG_Key,0))*INDEX(RelUni,MATCH($B78,Cov_Cod,0),1)*(1+sig_SAG)/(1-load_SAG)*(1+tax_SAG),IF(INDEX(SAG_Status,MATCH("Administração|"&amp;$B78,SAG_Key,0))="B","Incluída","n.d."))</f>
        <v>Incluída</v>
      </c>
      <c r="O78" s="52" t="str">
        <f aca="false">IF(INDEX(SAG_Status,MATCH("Administração|"&amp;$B78,SAG_Key,0))="O",INDEX(SAG_PP,MATCH("Administração|"&amp;$B78,SAG_Key,0))*INDEX(RelUni,MATCH($B78,Cov_Cod,0),2)*(1+sig_SAG)/(1-load_SAG)*(1+tax_SAG),IF(INDEX(SAG_Status,MATCH("Administração|"&amp;$B78,SAG_Key,0))="B","Incluída","n.d."))</f>
        <v>Incluída</v>
      </c>
      <c r="P78" s="52" t="str">
        <f aca="false">IF(INDEX(SAG_Status,MATCH("Administração|"&amp;$B78,SAG_Key,0))="O",INDEX(SAG_PP,MATCH("Administração|"&amp;$B78,SAG_Key,0))*INDEX(RelUni,MATCH($B78,Cov_Cod,0),3)*(1+sig_SAG)/(1-load_SAG)*(1+tax_SAG),IF(INDEX(SAG_Status,MATCH("Administração|"&amp;$B78,SAG_Key,0))="B","Incluída","n.d."))</f>
        <v>Incluída</v>
      </c>
      <c r="Q78" s="52" t="str">
        <f aca="false">IF(INDEX(SAG_Status,MATCH("Administração|"&amp;$B78,SAG_Key,0))="O",INDEX(SAG_PP,MATCH("Administração|"&amp;$B78,SAG_Key,0))*INDEX(RelUni,MATCH($B78,Cov_Cod,0),4)*(1+sig_SAG)/(1-load_SAG)*(1+tax_SAG),IF(INDEX(SAG_Status,MATCH("Administração|"&amp;$B78,SAG_Key,0))="B","Incluída","n.d."))</f>
        <v>Incluída</v>
      </c>
      <c r="R78" s="52" t="str">
        <f aca="false">IF(INDEX(SAG_Status,MATCH("Administração|"&amp;$B78,SAG_Key,0))="O",INDEX(SAG_PP,MATCH("Administração|"&amp;$B78,SAG_Key,0))*INDEX(RelUni,MATCH($B78,Cov_Cod,0),5)*(1+sig_SAG)/(1-load_SAG)*(1+tax_SAG),IF(INDEX(SAG_Status,MATCH("Administração|"&amp;$B78,SAG_Key,0))="B","Incluída","n.d."))</f>
        <v>Incluída</v>
      </c>
    </row>
    <row r="79" customFormat="false" ht="15" hidden="false" customHeight="false" outlineLevel="0" collapsed="false">
      <c r="B79" s="16" t="s">
        <v>143</v>
      </c>
      <c r="C79" s="32" t="str">
        <f aca="false">INDEX(Cov_Nome,MATCH(B79,Cov_Cod,0))</f>
        <v>Cuidados Intensivos (UCI)</v>
      </c>
      <c r="D79" s="51" t="str">
        <f aca="false">IF(INDEX(SAG_Status,MATCH("Colaboradores|"&amp;$B79,SAG_Key,0))="O",INDEX(SAG_PP,MATCH("Colaboradores|"&amp;$B79,SAG_Key,0))*INDEX(RelUni,MATCH($B79,Cov_Cod,0),1)*(1+sig_SAG)/(1-load_SAG)*(1+tax_SAG),IF(INDEX(SAG_Status,MATCH("Colaboradores|"&amp;$B79,SAG_Key,0))="B","Incluída","n.d."))</f>
        <v>Incluída</v>
      </c>
      <c r="E79" s="51" t="str">
        <f aca="false">IF(INDEX(SAG_Status,MATCH("Colaboradores|"&amp;$B79,SAG_Key,0))="O",INDEX(SAG_PP,MATCH("Colaboradores|"&amp;$B79,SAG_Key,0))*INDEX(RelUni,MATCH($B79,Cov_Cod,0),2)*(1+sig_SAG)/(1-load_SAG)*(1+tax_SAG),IF(INDEX(SAG_Status,MATCH("Colaboradores|"&amp;$B79,SAG_Key,0))="B","Incluída","n.d."))</f>
        <v>Incluída</v>
      </c>
      <c r="F79" s="51" t="str">
        <f aca="false">IF(INDEX(SAG_Status,MATCH("Colaboradores|"&amp;$B79,SAG_Key,0))="O",INDEX(SAG_PP,MATCH("Colaboradores|"&amp;$B79,SAG_Key,0))*INDEX(RelUni,MATCH($B79,Cov_Cod,0),3)*(1+sig_SAG)/(1-load_SAG)*(1+tax_SAG),IF(INDEX(SAG_Status,MATCH("Colaboradores|"&amp;$B79,SAG_Key,0))="B","Incluída","n.d."))</f>
        <v>Incluída</v>
      </c>
      <c r="G79" s="51" t="str">
        <f aca="false">IF(INDEX(SAG_Status,MATCH("Colaboradores|"&amp;$B79,SAG_Key,0))="O",INDEX(SAG_PP,MATCH("Colaboradores|"&amp;$B79,SAG_Key,0))*INDEX(RelUni,MATCH($B79,Cov_Cod,0),4)*(1+sig_SAG)/(1-load_SAG)*(1+tax_SAG),IF(INDEX(SAG_Status,MATCH("Colaboradores|"&amp;$B79,SAG_Key,0))="B","Incluída","n.d."))</f>
        <v>Incluída</v>
      </c>
      <c r="H79" s="51" t="str">
        <f aca="false">IF(INDEX(SAG_Status,MATCH("Colaboradores|"&amp;$B79,SAG_Key,0))="O",INDEX(SAG_PP,MATCH("Colaboradores|"&amp;$B79,SAG_Key,0))*INDEX(RelUni,MATCH($B79,Cov_Cod,0),5)*(1+sig_SAG)/(1-load_SAG)*(1+tax_SAG),IF(INDEX(SAG_Status,MATCH("Colaboradores|"&amp;$B79,SAG_Key,0))="B","Incluída","n.d."))</f>
        <v>Incluída</v>
      </c>
      <c r="I79" s="51" t="str">
        <f aca="false">IF(INDEX(SAG_Status,MATCH("Quadros Médios|"&amp;$B79,SAG_Key,0))="O",INDEX(SAG_PP,MATCH("Quadros Médios|"&amp;$B79,SAG_Key,0))*INDEX(RelUni,MATCH($B79,Cov_Cod,0),1)*(1+sig_SAG)/(1-load_SAG)*(1+tax_SAG),IF(INDEX(SAG_Status,MATCH("Quadros Médios|"&amp;$B79,SAG_Key,0))="B","Incluída","n.d."))</f>
        <v>Incluída</v>
      </c>
      <c r="J79" s="51" t="str">
        <f aca="false">IF(INDEX(SAG_Status,MATCH("Quadros Médios|"&amp;$B79,SAG_Key,0))="O",INDEX(SAG_PP,MATCH("Quadros Médios|"&amp;$B79,SAG_Key,0))*INDEX(RelUni,MATCH($B79,Cov_Cod,0),2)*(1+sig_SAG)/(1-load_SAG)*(1+tax_SAG),IF(INDEX(SAG_Status,MATCH("Quadros Médios|"&amp;$B79,SAG_Key,0))="B","Incluída","n.d."))</f>
        <v>Incluída</v>
      </c>
      <c r="K79" s="51" t="str">
        <f aca="false">IF(INDEX(SAG_Status,MATCH("Quadros Médios|"&amp;$B79,SAG_Key,0))="O",INDEX(SAG_PP,MATCH("Quadros Médios|"&amp;$B79,SAG_Key,0))*INDEX(RelUni,MATCH($B79,Cov_Cod,0),3)*(1+sig_SAG)/(1-load_SAG)*(1+tax_SAG),IF(INDEX(SAG_Status,MATCH("Quadros Médios|"&amp;$B79,SAG_Key,0))="B","Incluída","n.d."))</f>
        <v>Incluída</v>
      </c>
      <c r="L79" s="51" t="str">
        <f aca="false">IF(INDEX(SAG_Status,MATCH("Quadros Médios|"&amp;$B79,SAG_Key,0))="O",INDEX(SAG_PP,MATCH("Quadros Médios|"&amp;$B79,SAG_Key,0))*INDEX(RelUni,MATCH($B79,Cov_Cod,0),4)*(1+sig_SAG)/(1-load_SAG)*(1+tax_SAG),IF(INDEX(SAG_Status,MATCH("Quadros Médios|"&amp;$B79,SAG_Key,0))="B","Incluída","n.d."))</f>
        <v>Incluída</v>
      </c>
      <c r="M79" s="51" t="str">
        <f aca="false">IF(INDEX(SAG_Status,MATCH("Quadros Médios|"&amp;$B79,SAG_Key,0))="O",INDEX(SAG_PP,MATCH("Quadros Médios|"&amp;$B79,SAG_Key,0))*INDEX(RelUni,MATCH($B79,Cov_Cod,0),5)*(1+sig_SAG)/(1-load_SAG)*(1+tax_SAG),IF(INDEX(SAG_Status,MATCH("Quadros Médios|"&amp;$B79,SAG_Key,0))="B","Incluída","n.d."))</f>
        <v>Incluída</v>
      </c>
      <c r="N79" s="51" t="str">
        <f aca="false">IF(INDEX(SAG_Status,MATCH("Administração|"&amp;$B79,SAG_Key,0))="O",INDEX(SAG_PP,MATCH("Administração|"&amp;$B79,SAG_Key,0))*INDEX(RelUni,MATCH($B79,Cov_Cod,0),1)*(1+sig_SAG)/(1-load_SAG)*(1+tax_SAG),IF(INDEX(SAG_Status,MATCH("Administração|"&amp;$B79,SAG_Key,0))="B","Incluída","n.d."))</f>
        <v>Incluída</v>
      </c>
      <c r="O79" s="51" t="str">
        <f aca="false">IF(INDEX(SAG_Status,MATCH("Administração|"&amp;$B79,SAG_Key,0))="O",INDEX(SAG_PP,MATCH("Administração|"&amp;$B79,SAG_Key,0))*INDEX(RelUni,MATCH($B79,Cov_Cod,0),2)*(1+sig_SAG)/(1-load_SAG)*(1+tax_SAG),IF(INDEX(SAG_Status,MATCH("Administração|"&amp;$B79,SAG_Key,0))="B","Incluída","n.d."))</f>
        <v>Incluída</v>
      </c>
      <c r="P79" s="51" t="str">
        <f aca="false">IF(INDEX(SAG_Status,MATCH("Administração|"&amp;$B79,SAG_Key,0))="O",INDEX(SAG_PP,MATCH("Administração|"&amp;$B79,SAG_Key,0))*INDEX(RelUni,MATCH($B79,Cov_Cod,0),3)*(1+sig_SAG)/(1-load_SAG)*(1+tax_SAG),IF(INDEX(SAG_Status,MATCH("Administração|"&amp;$B79,SAG_Key,0))="B","Incluída","n.d."))</f>
        <v>Incluída</v>
      </c>
      <c r="Q79" s="51" t="str">
        <f aca="false">IF(INDEX(SAG_Status,MATCH("Administração|"&amp;$B79,SAG_Key,0))="O",INDEX(SAG_PP,MATCH("Administração|"&amp;$B79,SAG_Key,0))*INDEX(RelUni,MATCH($B79,Cov_Cod,0),4)*(1+sig_SAG)/(1-load_SAG)*(1+tax_SAG),IF(INDEX(SAG_Status,MATCH("Administração|"&amp;$B79,SAG_Key,0))="B","Incluída","n.d."))</f>
        <v>Incluída</v>
      </c>
      <c r="R79" s="51" t="str">
        <f aca="false">IF(INDEX(SAG_Status,MATCH("Administração|"&amp;$B79,SAG_Key,0))="O",INDEX(SAG_PP,MATCH("Administração|"&amp;$B79,SAG_Key,0))*INDEX(RelUni,MATCH($B79,Cov_Cod,0),5)*(1+sig_SAG)/(1-load_SAG)*(1+tax_SAG),IF(INDEX(SAG_Status,MATCH("Administração|"&amp;$B79,SAG_Key,0))="B","Incluída","n.d."))</f>
        <v>Incluída</v>
      </c>
    </row>
    <row r="80" customFormat="false" ht="15" hidden="false" customHeight="false" outlineLevel="0" collapsed="false">
      <c r="B80" s="21" t="s">
        <v>147</v>
      </c>
      <c r="C80" s="38" t="str">
        <f aca="false">INDEX(Cov_Nome,MATCH(B80,Cov_Cod,0))</f>
        <v>Consultas de Clínica Geral e Especialidade (incl. teleconsulta)</v>
      </c>
      <c r="D80" s="52" t="str">
        <f aca="false">IF(INDEX(SAG_Status,MATCH("Colaboradores|"&amp;$B80,SAG_Key,0))="O",INDEX(SAG_PP,MATCH("Colaboradores|"&amp;$B80,SAG_Key,0))*INDEX(RelUni,MATCH($B80,Cov_Cod,0),1)*(1+sig_SAG)/(1-load_SAG)*(1+tax_SAG),IF(INDEX(SAG_Status,MATCH("Colaboradores|"&amp;$B80,SAG_Key,0))="B","Incluída","n.d."))</f>
        <v>Incluída</v>
      </c>
      <c r="E80" s="52" t="str">
        <f aca="false">IF(INDEX(SAG_Status,MATCH("Colaboradores|"&amp;$B80,SAG_Key,0))="O",INDEX(SAG_PP,MATCH("Colaboradores|"&amp;$B80,SAG_Key,0))*INDEX(RelUni,MATCH($B80,Cov_Cod,0),2)*(1+sig_SAG)/(1-load_SAG)*(1+tax_SAG),IF(INDEX(SAG_Status,MATCH("Colaboradores|"&amp;$B80,SAG_Key,0))="B","Incluída","n.d."))</f>
        <v>Incluída</v>
      </c>
      <c r="F80" s="52" t="str">
        <f aca="false">IF(INDEX(SAG_Status,MATCH("Colaboradores|"&amp;$B80,SAG_Key,0))="O",INDEX(SAG_PP,MATCH("Colaboradores|"&amp;$B80,SAG_Key,0))*INDEX(RelUni,MATCH($B80,Cov_Cod,0),3)*(1+sig_SAG)/(1-load_SAG)*(1+tax_SAG),IF(INDEX(SAG_Status,MATCH("Colaboradores|"&amp;$B80,SAG_Key,0))="B","Incluída","n.d."))</f>
        <v>Incluída</v>
      </c>
      <c r="G80" s="52" t="str">
        <f aca="false">IF(INDEX(SAG_Status,MATCH("Colaboradores|"&amp;$B80,SAG_Key,0))="O",INDEX(SAG_PP,MATCH("Colaboradores|"&amp;$B80,SAG_Key,0))*INDEX(RelUni,MATCH($B80,Cov_Cod,0),4)*(1+sig_SAG)/(1-load_SAG)*(1+tax_SAG),IF(INDEX(SAG_Status,MATCH("Colaboradores|"&amp;$B80,SAG_Key,0))="B","Incluída","n.d."))</f>
        <v>Incluída</v>
      </c>
      <c r="H80" s="52" t="str">
        <f aca="false">IF(INDEX(SAG_Status,MATCH("Colaboradores|"&amp;$B80,SAG_Key,0))="O",INDEX(SAG_PP,MATCH("Colaboradores|"&amp;$B80,SAG_Key,0))*INDEX(RelUni,MATCH($B80,Cov_Cod,0),5)*(1+sig_SAG)/(1-load_SAG)*(1+tax_SAG),IF(INDEX(SAG_Status,MATCH("Colaboradores|"&amp;$B80,SAG_Key,0))="B","Incluída","n.d."))</f>
        <v>Incluída</v>
      </c>
      <c r="I80" s="52" t="str">
        <f aca="false">IF(INDEX(SAG_Status,MATCH("Quadros Médios|"&amp;$B80,SAG_Key,0))="O",INDEX(SAG_PP,MATCH("Quadros Médios|"&amp;$B80,SAG_Key,0))*INDEX(RelUni,MATCH($B80,Cov_Cod,0),1)*(1+sig_SAG)/(1-load_SAG)*(1+tax_SAG),IF(INDEX(SAG_Status,MATCH("Quadros Médios|"&amp;$B80,SAG_Key,0))="B","Incluída","n.d."))</f>
        <v>Incluída</v>
      </c>
      <c r="J80" s="52" t="str">
        <f aca="false">IF(INDEX(SAG_Status,MATCH("Quadros Médios|"&amp;$B80,SAG_Key,0))="O",INDEX(SAG_PP,MATCH("Quadros Médios|"&amp;$B80,SAG_Key,0))*INDEX(RelUni,MATCH($B80,Cov_Cod,0),2)*(1+sig_SAG)/(1-load_SAG)*(1+tax_SAG),IF(INDEX(SAG_Status,MATCH("Quadros Médios|"&amp;$B80,SAG_Key,0))="B","Incluída","n.d."))</f>
        <v>Incluída</v>
      </c>
      <c r="K80" s="52" t="str">
        <f aca="false">IF(INDEX(SAG_Status,MATCH("Quadros Médios|"&amp;$B80,SAG_Key,0))="O",INDEX(SAG_PP,MATCH("Quadros Médios|"&amp;$B80,SAG_Key,0))*INDEX(RelUni,MATCH($B80,Cov_Cod,0),3)*(1+sig_SAG)/(1-load_SAG)*(1+tax_SAG),IF(INDEX(SAG_Status,MATCH("Quadros Médios|"&amp;$B80,SAG_Key,0))="B","Incluída","n.d."))</f>
        <v>Incluída</v>
      </c>
      <c r="L80" s="52" t="str">
        <f aca="false">IF(INDEX(SAG_Status,MATCH("Quadros Médios|"&amp;$B80,SAG_Key,0))="O",INDEX(SAG_PP,MATCH("Quadros Médios|"&amp;$B80,SAG_Key,0))*INDEX(RelUni,MATCH($B80,Cov_Cod,0),4)*(1+sig_SAG)/(1-load_SAG)*(1+tax_SAG),IF(INDEX(SAG_Status,MATCH("Quadros Médios|"&amp;$B80,SAG_Key,0))="B","Incluída","n.d."))</f>
        <v>Incluída</v>
      </c>
      <c r="M80" s="52" t="str">
        <f aca="false">IF(INDEX(SAG_Status,MATCH("Quadros Médios|"&amp;$B80,SAG_Key,0))="O",INDEX(SAG_PP,MATCH("Quadros Médios|"&amp;$B80,SAG_Key,0))*INDEX(RelUni,MATCH($B80,Cov_Cod,0),5)*(1+sig_SAG)/(1-load_SAG)*(1+tax_SAG),IF(INDEX(SAG_Status,MATCH("Quadros Médios|"&amp;$B80,SAG_Key,0))="B","Incluída","n.d."))</f>
        <v>Incluída</v>
      </c>
      <c r="N80" s="52" t="str">
        <f aca="false">IF(INDEX(SAG_Status,MATCH("Administração|"&amp;$B80,SAG_Key,0))="O",INDEX(SAG_PP,MATCH("Administração|"&amp;$B80,SAG_Key,0))*INDEX(RelUni,MATCH($B80,Cov_Cod,0),1)*(1+sig_SAG)/(1-load_SAG)*(1+tax_SAG),IF(INDEX(SAG_Status,MATCH("Administração|"&amp;$B80,SAG_Key,0))="B","Incluída","n.d."))</f>
        <v>Incluída</v>
      </c>
      <c r="O80" s="52" t="str">
        <f aca="false">IF(INDEX(SAG_Status,MATCH("Administração|"&amp;$B80,SAG_Key,0))="O",INDEX(SAG_PP,MATCH("Administração|"&amp;$B80,SAG_Key,0))*INDEX(RelUni,MATCH($B80,Cov_Cod,0),2)*(1+sig_SAG)/(1-load_SAG)*(1+tax_SAG),IF(INDEX(SAG_Status,MATCH("Administração|"&amp;$B80,SAG_Key,0))="B","Incluída","n.d."))</f>
        <v>Incluída</v>
      </c>
      <c r="P80" s="52" t="str">
        <f aca="false">IF(INDEX(SAG_Status,MATCH("Administração|"&amp;$B80,SAG_Key,0))="O",INDEX(SAG_PP,MATCH("Administração|"&amp;$B80,SAG_Key,0))*INDEX(RelUni,MATCH($B80,Cov_Cod,0),3)*(1+sig_SAG)/(1-load_SAG)*(1+tax_SAG),IF(INDEX(SAG_Status,MATCH("Administração|"&amp;$B80,SAG_Key,0))="B","Incluída","n.d."))</f>
        <v>Incluída</v>
      </c>
      <c r="Q80" s="52" t="str">
        <f aca="false">IF(INDEX(SAG_Status,MATCH("Administração|"&amp;$B80,SAG_Key,0))="O",INDEX(SAG_PP,MATCH("Administração|"&amp;$B80,SAG_Key,0))*INDEX(RelUni,MATCH($B80,Cov_Cod,0),4)*(1+sig_SAG)/(1-load_SAG)*(1+tax_SAG),IF(INDEX(SAG_Status,MATCH("Administração|"&amp;$B80,SAG_Key,0))="B","Incluída","n.d."))</f>
        <v>Incluída</v>
      </c>
      <c r="R80" s="52" t="str">
        <f aca="false">IF(INDEX(SAG_Status,MATCH("Administração|"&amp;$B80,SAG_Key,0))="O",INDEX(SAG_PP,MATCH("Administração|"&amp;$B80,SAG_Key,0))*INDEX(RelUni,MATCH($B80,Cov_Cod,0),5)*(1+sig_SAG)/(1-load_SAG)*(1+tax_SAG),IF(INDEX(SAG_Status,MATCH("Administração|"&amp;$B80,SAG_Key,0))="B","Incluída","n.d."))</f>
        <v>Incluída</v>
      </c>
    </row>
    <row r="81" customFormat="false" ht="15" hidden="false" customHeight="false" outlineLevel="0" collapsed="false">
      <c r="B81" s="16" t="s">
        <v>151</v>
      </c>
      <c r="C81" s="32" t="str">
        <f aca="false">INDEX(Cov_Nome,MATCH(B81,Cov_Cod,0))</f>
        <v>MCDT — Exames, Análises e Imagiologia</v>
      </c>
      <c r="D81" s="51" t="str">
        <f aca="false">IF(INDEX(SAG_Status,MATCH("Colaboradores|"&amp;$B81,SAG_Key,0))="O",INDEX(SAG_PP,MATCH("Colaboradores|"&amp;$B81,SAG_Key,0))*INDEX(RelUni,MATCH($B81,Cov_Cod,0),1)*(1+sig_SAG)/(1-load_SAG)*(1+tax_SAG),IF(INDEX(SAG_Status,MATCH("Colaboradores|"&amp;$B81,SAG_Key,0))="B","Incluída","n.d."))</f>
        <v>Incluída</v>
      </c>
      <c r="E81" s="51" t="str">
        <f aca="false">IF(INDEX(SAG_Status,MATCH("Colaboradores|"&amp;$B81,SAG_Key,0))="O",INDEX(SAG_PP,MATCH("Colaboradores|"&amp;$B81,SAG_Key,0))*INDEX(RelUni,MATCH($B81,Cov_Cod,0),2)*(1+sig_SAG)/(1-load_SAG)*(1+tax_SAG),IF(INDEX(SAG_Status,MATCH("Colaboradores|"&amp;$B81,SAG_Key,0))="B","Incluída","n.d."))</f>
        <v>Incluída</v>
      </c>
      <c r="F81" s="51" t="str">
        <f aca="false">IF(INDEX(SAG_Status,MATCH("Colaboradores|"&amp;$B81,SAG_Key,0))="O",INDEX(SAG_PP,MATCH("Colaboradores|"&amp;$B81,SAG_Key,0))*INDEX(RelUni,MATCH($B81,Cov_Cod,0),3)*(1+sig_SAG)/(1-load_SAG)*(1+tax_SAG),IF(INDEX(SAG_Status,MATCH("Colaboradores|"&amp;$B81,SAG_Key,0))="B","Incluída","n.d."))</f>
        <v>Incluída</v>
      </c>
      <c r="G81" s="51" t="str">
        <f aca="false">IF(INDEX(SAG_Status,MATCH("Colaboradores|"&amp;$B81,SAG_Key,0))="O",INDEX(SAG_PP,MATCH("Colaboradores|"&amp;$B81,SAG_Key,0))*INDEX(RelUni,MATCH($B81,Cov_Cod,0),4)*(1+sig_SAG)/(1-load_SAG)*(1+tax_SAG),IF(INDEX(SAG_Status,MATCH("Colaboradores|"&amp;$B81,SAG_Key,0))="B","Incluída","n.d."))</f>
        <v>Incluída</v>
      </c>
      <c r="H81" s="51" t="str">
        <f aca="false">IF(INDEX(SAG_Status,MATCH("Colaboradores|"&amp;$B81,SAG_Key,0))="O",INDEX(SAG_PP,MATCH("Colaboradores|"&amp;$B81,SAG_Key,0))*INDEX(RelUni,MATCH($B81,Cov_Cod,0),5)*(1+sig_SAG)/(1-load_SAG)*(1+tax_SAG),IF(INDEX(SAG_Status,MATCH("Colaboradores|"&amp;$B81,SAG_Key,0))="B","Incluída","n.d."))</f>
        <v>Incluída</v>
      </c>
      <c r="I81" s="51" t="str">
        <f aca="false">IF(INDEX(SAG_Status,MATCH("Quadros Médios|"&amp;$B81,SAG_Key,0))="O",INDEX(SAG_PP,MATCH("Quadros Médios|"&amp;$B81,SAG_Key,0))*INDEX(RelUni,MATCH($B81,Cov_Cod,0),1)*(1+sig_SAG)/(1-load_SAG)*(1+tax_SAG),IF(INDEX(SAG_Status,MATCH("Quadros Médios|"&amp;$B81,SAG_Key,0))="B","Incluída","n.d."))</f>
        <v>Incluída</v>
      </c>
      <c r="J81" s="51" t="str">
        <f aca="false">IF(INDEX(SAG_Status,MATCH("Quadros Médios|"&amp;$B81,SAG_Key,0))="O",INDEX(SAG_PP,MATCH("Quadros Médios|"&amp;$B81,SAG_Key,0))*INDEX(RelUni,MATCH($B81,Cov_Cod,0),2)*(1+sig_SAG)/(1-load_SAG)*(1+tax_SAG),IF(INDEX(SAG_Status,MATCH("Quadros Médios|"&amp;$B81,SAG_Key,0))="B","Incluída","n.d."))</f>
        <v>Incluída</v>
      </c>
      <c r="K81" s="51" t="str">
        <f aca="false">IF(INDEX(SAG_Status,MATCH("Quadros Médios|"&amp;$B81,SAG_Key,0))="O",INDEX(SAG_PP,MATCH("Quadros Médios|"&amp;$B81,SAG_Key,0))*INDEX(RelUni,MATCH($B81,Cov_Cod,0),3)*(1+sig_SAG)/(1-load_SAG)*(1+tax_SAG),IF(INDEX(SAG_Status,MATCH("Quadros Médios|"&amp;$B81,SAG_Key,0))="B","Incluída","n.d."))</f>
        <v>Incluída</v>
      </c>
      <c r="L81" s="51" t="str">
        <f aca="false">IF(INDEX(SAG_Status,MATCH("Quadros Médios|"&amp;$B81,SAG_Key,0))="O",INDEX(SAG_PP,MATCH("Quadros Médios|"&amp;$B81,SAG_Key,0))*INDEX(RelUni,MATCH($B81,Cov_Cod,0),4)*(1+sig_SAG)/(1-load_SAG)*(1+tax_SAG),IF(INDEX(SAG_Status,MATCH("Quadros Médios|"&amp;$B81,SAG_Key,0))="B","Incluída","n.d."))</f>
        <v>Incluída</v>
      </c>
      <c r="M81" s="51" t="str">
        <f aca="false">IF(INDEX(SAG_Status,MATCH("Quadros Médios|"&amp;$B81,SAG_Key,0))="O",INDEX(SAG_PP,MATCH("Quadros Médios|"&amp;$B81,SAG_Key,0))*INDEX(RelUni,MATCH($B81,Cov_Cod,0),5)*(1+sig_SAG)/(1-load_SAG)*(1+tax_SAG),IF(INDEX(SAG_Status,MATCH("Quadros Médios|"&amp;$B81,SAG_Key,0))="B","Incluída","n.d."))</f>
        <v>Incluída</v>
      </c>
      <c r="N81" s="51" t="str">
        <f aca="false">IF(INDEX(SAG_Status,MATCH("Administração|"&amp;$B81,SAG_Key,0))="O",INDEX(SAG_PP,MATCH("Administração|"&amp;$B81,SAG_Key,0))*INDEX(RelUni,MATCH($B81,Cov_Cod,0),1)*(1+sig_SAG)/(1-load_SAG)*(1+tax_SAG),IF(INDEX(SAG_Status,MATCH("Administração|"&amp;$B81,SAG_Key,0))="B","Incluída","n.d."))</f>
        <v>Incluída</v>
      </c>
      <c r="O81" s="51" t="str">
        <f aca="false">IF(INDEX(SAG_Status,MATCH("Administração|"&amp;$B81,SAG_Key,0))="O",INDEX(SAG_PP,MATCH("Administração|"&amp;$B81,SAG_Key,0))*INDEX(RelUni,MATCH($B81,Cov_Cod,0),2)*(1+sig_SAG)/(1-load_SAG)*(1+tax_SAG),IF(INDEX(SAG_Status,MATCH("Administração|"&amp;$B81,SAG_Key,0))="B","Incluída","n.d."))</f>
        <v>Incluída</v>
      </c>
      <c r="P81" s="51" t="str">
        <f aca="false">IF(INDEX(SAG_Status,MATCH("Administração|"&amp;$B81,SAG_Key,0))="O",INDEX(SAG_PP,MATCH("Administração|"&amp;$B81,SAG_Key,0))*INDEX(RelUni,MATCH($B81,Cov_Cod,0),3)*(1+sig_SAG)/(1-load_SAG)*(1+tax_SAG),IF(INDEX(SAG_Status,MATCH("Administração|"&amp;$B81,SAG_Key,0))="B","Incluída","n.d."))</f>
        <v>Incluída</v>
      </c>
      <c r="Q81" s="51" t="str">
        <f aca="false">IF(INDEX(SAG_Status,MATCH("Administração|"&amp;$B81,SAG_Key,0))="O",INDEX(SAG_PP,MATCH("Administração|"&amp;$B81,SAG_Key,0))*INDEX(RelUni,MATCH($B81,Cov_Cod,0),4)*(1+sig_SAG)/(1-load_SAG)*(1+tax_SAG),IF(INDEX(SAG_Status,MATCH("Administração|"&amp;$B81,SAG_Key,0))="B","Incluída","n.d."))</f>
        <v>Incluída</v>
      </c>
      <c r="R81" s="51" t="str">
        <f aca="false">IF(INDEX(SAG_Status,MATCH("Administração|"&amp;$B81,SAG_Key,0))="O",INDEX(SAG_PP,MATCH("Administração|"&amp;$B81,SAG_Key,0))*INDEX(RelUni,MATCH($B81,Cov_Cod,0),5)*(1+sig_SAG)/(1-load_SAG)*(1+tax_SAG),IF(INDEX(SAG_Status,MATCH("Administração|"&amp;$B81,SAG_Key,0))="B","Incluída","n.d."))</f>
        <v>Incluída</v>
      </c>
    </row>
    <row r="82" customFormat="false" ht="15" hidden="false" customHeight="false" outlineLevel="0" collapsed="false">
      <c r="B82" s="21" t="s">
        <v>155</v>
      </c>
      <c r="C82" s="38" t="str">
        <f aca="false">INDEX(Cov_Nome,MATCH(B82,Cov_Cod,0))</f>
        <v>Malária e Doenças Endémicas (ambulatório)</v>
      </c>
      <c r="D82" s="52" t="str">
        <f aca="false">IF(INDEX(SAG_Status,MATCH("Colaboradores|"&amp;$B82,SAG_Key,0))="O",INDEX(SAG_PP,MATCH("Colaboradores|"&amp;$B82,SAG_Key,0))*INDEX(RelUni,MATCH($B82,Cov_Cod,0),1)*(1+sig_SAG)/(1-load_SAG)*(1+tax_SAG),IF(INDEX(SAG_Status,MATCH("Colaboradores|"&amp;$B82,SAG_Key,0))="B","Incluída","n.d."))</f>
        <v>Incluída</v>
      </c>
      <c r="E82" s="52" t="str">
        <f aca="false">IF(INDEX(SAG_Status,MATCH("Colaboradores|"&amp;$B82,SAG_Key,0))="O",INDEX(SAG_PP,MATCH("Colaboradores|"&amp;$B82,SAG_Key,0))*INDEX(RelUni,MATCH($B82,Cov_Cod,0),2)*(1+sig_SAG)/(1-load_SAG)*(1+tax_SAG),IF(INDEX(SAG_Status,MATCH("Colaboradores|"&amp;$B82,SAG_Key,0))="B","Incluída","n.d."))</f>
        <v>Incluída</v>
      </c>
      <c r="F82" s="52" t="str">
        <f aca="false">IF(INDEX(SAG_Status,MATCH("Colaboradores|"&amp;$B82,SAG_Key,0))="O",INDEX(SAG_PP,MATCH("Colaboradores|"&amp;$B82,SAG_Key,0))*INDEX(RelUni,MATCH($B82,Cov_Cod,0),3)*(1+sig_SAG)/(1-load_SAG)*(1+tax_SAG),IF(INDEX(SAG_Status,MATCH("Colaboradores|"&amp;$B82,SAG_Key,0))="B","Incluída","n.d."))</f>
        <v>Incluída</v>
      </c>
      <c r="G82" s="52" t="str">
        <f aca="false">IF(INDEX(SAG_Status,MATCH("Colaboradores|"&amp;$B82,SAG_Key,0))="O",INDEX(SAG_PP,MATCH("Colaboradores|"&amp;$B82,SAG_Key,0))*INDEX(RelUni,MATCH($B82,Cov_Cod,0),4)*(1+sig_SAG)/(1-load_SAG)*(1+tax_SAG),IF(INDEX(SAG_Status,MATCH("Colaboradores|"&amp;$B82,SAG_Key,0))="B","Incluída","n.d."))</f>
        <v>Incluída</v>
      </c>
      <c r="H82" s="52" t="str">
        <f aca="false">IF(INDEX(SAG_Status,MATCH("Colaboradores|"&amp;$B82,SAG_Key,0))="O",INDEX(SAG_PP,MATCH("Colaboradores|"&amp;$B82,SAG_Key,0))*INDEX(RelUni,MATCH($B82,Cov_Cod,0),5)*(1+sig_SAG)/(1-load_SAG)*(1+tax_SAG),IF(INDEX(SAG_Status,MATCH("Colaboradores|"&amp;$B82,SAG_Key,0))="B","Incluída","n.d."))</f>
        <v>Incluída</v>
      </c>
      <c r="I82" s="52" t="str">
        <f aca="false">IF(INDEX(SAG_Status,MATCH("Quadros Médios|"&amp;$B82,SAG_Key,0))="O",INDEX(SAG_PP,MATCH("Quadros Médios|"&amp;$B82,SAG_Key,0))*INDEX(RelUni,MATCH($B82,Cov_Cod,0),1)*(1+sig_SAG)/(1-load_SAG)*(1+tax_SAG),IF(INDEX(SAG_Status,MATCH("Quadros Médios|"&amp;$B82,SAG_Key,0))="B","Incluída","n.d."))</f>
        <v>Incluída</v>
      </c>
      <c r="J82" s="52" t="str">
        <f aca="false">IF(INDEX(SAG_Status,MATCH("Quadros Médios|"&amp;$B82,SAG_Key,0))="O",INDEX(SAG_PP,MATCH("Quadros Médios|"&amp;$B82,SAG_Key,0))*INDEX(RelUni,MATCH($B82,Cov_Cod,0),2)*(1+sig_SAG)/(1-load_SAG)*(1+tax_SAG),IF(INDEX(SAG_Status,MATCH("Quadros Médios|"&amp;$B82,SAG_Key,0))="B","Incluída","n.d."))</f>
        <v>Incluída</v>
      </c>
      <c r="K82" s="52" t="str">
        <f aca="false">IF(INDEX(SAG_Status,MATCH("Quadros Médios|"&amp;$B82,SAG_Key,0))="O",INDEX(SAG_PP,MATCH("Quadros Médios|"&amp;$B82,SAG_Key,0))*INDEX(RelUni,MATCH($B82,Cov_Cod,0),3)*(1+sig_SAG)/(1-load_SAG)*(1+tax_SAG),IF(INDEX(SAG_Status,MATCH("Quadros Médios|"&amp;$B82,SAG_Key,0))="B","Incluída","n.d."))</f>
        <v>Incluída</v>
      </c>
      <c r="L82" s="52" t="str">
        <f aca="false">IF(INDEX(SAG_Status,MATCH("Quadros Médios|"&amp;$B82,SAG_Key,0))="O",INDEX(SAG_PP,MATCH("Quadros Médios|"&amp;$B82,SAG_Key,0))*INDEX(RelUni,MATCH($B82,Cov_Cod,0),4)*(1+sig_SAG)/(1-load_SAG)*(1+tax_SAG),IF(INDEX(SAG_Status,MATCH("Quadros Médios|"&amp;$B82,SAG_Key,0))="B","Incluída","n.d."))</f>
        <v>Incluída</v>
      </c>
      <c r="M82" s="52" t="str">
        <f aca="false">IF(INDEX(SAG_Status,MATCH("Quadros Médios|"&amp;$B82,SAG_Key,0))="O",INDEX(SAG_PP,MATCH("Quadros Médios|"&amp;$B82,SAG_Key,0))*INDEX(RelUni,MATCH($B82,Cov_Cod,0),5)*(1+sig_SAG)/(1-load_SAG)*(1+tax_SAG),IF(INDEX(SAG_Status,MATCH("Quadros Médios|"&amp;$B82,SAG_Key,0))="B","Incluída","n.d."))</f>
        <v>Incluída</v>
      </c>
      <c r="N82" s="52" t="str">
        <f aca="false">IF(INDEX(SAG_Status,MATCH("Administração|"&amp;$B82,SAG_Key,0))="O",INDEX(SAG_PP,MATCH("Administração|"&amp;$B82,SAG_Key,0))*INDEX(RelUni,MATCH($B82,Cov_Cod,0),1)*(1+sig_SAG)/(1-load_SAG)*(1+tax_SAG),IF(INDEX(SAG_Status,MATCH("Administração|"&amp;$B82,SAG_Key,0))="B","Incluída","n.d."))</f>
        <v>Incluída</v>
      </c>
      <c r="O82" s="52" t="str">
        <f aca="false">IF(INDEX(SAG_Status,MATCH("Administração|"&amp;$B82,SAG_Key,0))="O",INDEX(SAG_PP,MATCH("Administração|"&amp;$B82,SAG_Key,0))*INDEX(RelUni,MATCH($B82,Cov_Cod,0),2)*(1+sig_SAG)/(1-load_SAG)*(1+tax_SAG),IF(INDEX(SAG_Status,MATCH("Administração|"&amp;$B82,SAG_Key,0))="B","Incluída","n.d."))</f>
        <v>Incluída</v>
      </c>
      <c r="P82" s="52" t="str">
        <f aca="false">IF(INDEX(SAG_Status,MATCH("Administração|"&amp;$B82,SAG_Key,0))="O",INDEX(SAG_PP,MATCH("Administração|"&amp;$B82,SAG_Key,0))*INDEX(RelUni,MATCH($B82,Cov_Cod,0),3)*(1+sig_SAG)/(1-load_SAG)*(1+tax_SAG),IF(INDEX(SAG_Status,MATCH("Administração|"&amp;$B82,SAG_Key,0))="B","Incluída","n.d."))</f>
        <v>Incluída</v>
      </c>
      <c r="Q82" s="52" t="str">
        <f aca="false">IF(INDEX(SAG_Status,MATCH("Administração|"&amp;$B82,SAG_Key,0))="O",INDEX(SAG_PP,MATCH("Administração|"&amp;$B82,SAG_Key,0))*INDEX(RelUni,MATCH($B82,Cov_Cod,0),4)*(1+sig_SAG)/(1-load_SAG)*(1+tax_SAG),IF(INDEX(SAG_Status,MATCH("Administração|"&amp;$B82,SAG_Key,0))="B","Incluída","n.d."))</f>
        <v>Incluída</v>
      </c>
      <c r="R82" s="52" t="str">
        <f aca="false">IF(INDEX(SAG_Status,MATCH("Administração|"&amp;$B82,SAG_Key,0))="O",INDEX(SAG_PP,MATCH("Administração|"&amp;$B82,SAG_Key,0))*INDEX(RelUni,MATCH($B82,Cov_Cod,0),5)*(1+sig_SAG)/(1-load_SAG)*(1+tax_SAG),IF(INDEX(SAG_Status,MATCH("Administração|"&amp;$B82,SAG_Key,0))="B","Incluída","n.d."))</f>
        <v>Incluída</v>
      </c>
    </row>
    <row r="83" customFormat="false" ht="15" hidden="false" customHeight="false" outlineLevel="0" collapsed="false">
      <c r="B83" s="16" t="s">
        <v>159</v>
      </c>
      <c r="C83" s="32" t="str">
        <f aca="false">INDEX(Cov_Nome,MATCH(B83,Cov_Cod,0))</f>
        <v>Maternidade e Parto (Normal e Cesariana)</v>
      </c>
      <c r="D83" s="51" t="str">
        <f aca="false">IF(INDEX(SAG_Status,MATCH("Colaboradores|"&amp;$B83,SAG_Key,0))="O",INDEX(SAG_PP,MATCH("Colaboradores|"&amp;$B83,SAG_Key,0))*INDEX(RelUni,MATCH($B83,Cov_Cod,0),1)*(1+sig_SAG)/(1-load_SAG)*(1+tax_SAG),IF(INDEX(SAG_Status,MATCH("Colaboradores|"&amp;$B83,SAG_Key,0))="B","Incluída","n.d."))</f>
        <v>Incluída</v>
      </c>
      <c r="E83" s="51" t="str">
        <f aca="false">IF(INDEX(SAG_Status,MATCH("Colaboradores|"&amp;$B83,SAG_Key,0))="O",INDEX(SAG_PP,MATCH("Colaboradores|"&amp;$B83,SAG_Key,0))*INDEX(RelUni,MATCH($B83,Cov_Cod,0),2)*(1+sig_SAG)/(1-load_SAG)*(1+tax_SAG),IF(INDEX(SAG_Status,MATCH("Colaboradores|"&amp;$B83,SAG_Key,0))="B","Incluída","n.d."))</f>
        <v>Incluída</v>
      </c>
      <c r="F83" s="51" t="str">
        <f aca="false">IF(INDEX(SAG_Status,MATCH("Colaboradores|"&amp;$B83,SAG_Key,0))="O",INDEX(SAG_PP,MATCH("Colaboradores|"&amp;$B83,SAG_Key,0))*INDEX(RelUni,MATCH($B83,Cov_Cod,0),3)*(1+sig_SAG)/(1-load_SAG)*(1+tax_SAG),IF(INDEX(SAG_Status,MATCH("Colaboradores|"&amp;$B83,SAG_Key,0))="B","Incluída","n.d."))</f>
        <v>Incluída</v>
      </c>
      <c r="G83" s="51" t="str">
        <f aca="false">IF(INDEX(SAG_Status,MATCH("Colaboradores|"&amp;$B83,SAG_Key,0))="O",INDEX(SAG_PP,MATCH("Colaboradores|"&amp;$B83,SAG_Key,0))*INDEX(RelUni,MATCH($B83,Cov_Cod,0),4)*(1+sig_SAG)/(1-load_SAG)*(1+tax_SAG),IF(INDEX(SAG_Status,MATCH("Colaboradores|"&amp;$B83,SAG_Key,0))="B","Incluída","n.d."))</f>
        <v>Incluída</v>
      </c>
      <c r="H83" s="51" t="str">
        <f aca="false">IF(INDEX(SAG_Status,MATCH("Colaboradores|"&amp;$B83,SAG_Key,0))="O",INDEX(SAG_PP,MATCH("Colaboradores|"&amp;$B83,SAG_Key,0))*INDEX(RelUni,MATCH($B83,Cov_Cod,0),5)*(1+sig_SAG)/(1-load_SAG)*(1+tax_SAG),IF(INDEX(SAG_Status,MATCH("Colaboradores|"&amp;$B83,SAG_Key,0))="B","Incluída","n.d."))</f>
        <v>Incluída</v>
      </c>
      <c r="I83" s="51" t="str">
        <f aca="false">IF(INDEX(SAG_Status,MATCH("Quadros Médios|"&amp;$B83,SAG_Key,0))="O",INDEX(SAG_PP,MATCH("Quadros Médios|"&amp;$B83,SAG_Key,0))*INDEX(RelUni,MATCH($B83,Cov_Cod,0),1)*(1+sig_SAG)/(1-load_SAG)*(1+tax_SAG),IF(INDEX(SAG_Status,MATCH("Quadros Médios|"&amp;$B83,SAG_Key,0))="B","Incluída","n.d."))</f>
        <v>Incluída</v>
      </c>
      <c r="J83" s="51" t="str">
        <f aca="false">IF(INDEX(SAG_Status,MATCH("Quadros Médios|"&amp;$B83,SAG_Key,0))="O",INDEX(SAG_PP,MATCH("Quadros Médios|"&amp;$B83,SAG_Key,0))*INDEX(RelUni,MATCH($B83,Cov_Cod,0),2)*(1+sig_SAG)/(1-load_SAG)*(1+tax_SAG),IF(INDEX(SAG_Status,MATCH("Quadros Médios|"&amp;$B83,SAG_Key,0))="B","Incluída","n.d."))</f>
        <v>Incluída</v>
      </c>
      <c r="K83" s="51" t="str">
        <f aca="false">IF(INDEX(SAG_Status,MATCH("Quadros Médios|"&amp;$B83,SAG_Key,0))="O",INDEX(SAG_PP,MATCH("Quadros Médios|"&amp;$B83,SAG_Key,0))*INDEX(RelUni,MATCH($B83,Cov_Cod,0),3)*(1+sig_SAG)/(1-load_SAG)*(1+tax_SAG),IF(INDEX(SAG_Status,MATCH("Quadros Médios|"&amp;$B83,SAG_Key,0))="B","Incluída","n.d."))</f>
        <v>Incluída</v>
      </c>
      <c r="L83" s="51" t="str">
        <f aca="false">IF(INDEX(SAG_Status,MATCH("Quadros Médios|"&amp;$B83,SAG_Key,0))="O",INDEX(SAG_PP,MATCH("Quadros Médios|"&amp;$B83,SAG_Key,0))*INDEX(RelUni,MATCH($B83,Cov_Cod,0),4)*(1+sig_SAG)/(1-load_SAG)*(1+tax_SAG),IF(INDEX(SAG_Status,MATCH("Quadros Médios|"&amp;$B83,SAG_Key,0))="B","Incluída","n.d."))</f>
        <v>Incluída</v>
      </c>
      <c r="M83" s="51" t="str">
        <f aca="false">IF(INDEX(SAG_Status,MATCH("Quadros Médios|"&amp;$B83,SAG_Key,0))="O",INDEX(SAG_PP,MATCH("Quadros Médios|"&amp;$B83,SAG_Key,0))*INDEX(RelUni,MATCH($B83,Cov_Cod,0),5)*(1+sig_SAG)/(1-load_SAG)*(1+tax_SAG),IF(INDEX(SAG_Status,MATCH("Quadros Médios|"&amp;$B83,SAG_Key,0))="B","Incluída","n.d."))</f>
        <v>Incluída</v>
      </c>
      <c r="N83" s="51" t="str">
        <f aca="false">IF(INDEX(SAG_Status,MATCH("Administração|"&amp;$B83,SAG_Key,0))="O",INDEX(SAG_PP,MATCH("Administração|"&amp;$B83,SAG_Key,0))*INDEX(RelUni,MATCH($B83,Cov_Cod,0),1)*(1+sig_SAG)/(1-load_SAG)*(1+tax_SAG),IF(INDEX(SAG_Status,MATCH("Administração|"&amp;$B83,SAG_Key,0))="B","Incluída","n.d."))</f>
        <v>Incluída</v>
      </c>
      <c r="O83" s="51" t="str">
        <f aca="false">IF(INDEX(SAG_Status,MATCH("Administração|"&amp;$B83,SAG_Key,0))="O",INDEX(SAG_PP,MATCH("Administração|"&amp;$B83,SAG_Key,0))*INDEX(RelUni,MATCH($B83,Cov_Cod,0),2)*(1+sig_SAG)/(1-load_SAG)*(1+tax_SAG),IF(INDEX(SAG_Status,MATCH("Administração|"&amp;$B83,SAG_Key,0))="B","Incluída","n.d."))</f>
        <v>Incluída</v>
      </c>
      <c r="P83" s="51" t="str">
        <f aca="false">IF(INDEX(SAG_Status,MATCH("Administração|"&amp;$B83,SAG_Key,0))="O",INDEX(SAG_PP,MATCH("Administração|"&amp;$B83,SAG_Key,0))*INDEX(RelUni,MATCH($B83,Cov_Cod,0),3)*(1+sig_SAG)/(1-load_SAG)*(1+tax_SAG),IF(INDEX(SAG_Status,MATCH("Administração|"&amp;$B83,SAG_Key,0))="B","Incluída","n.d."))</f>
        <v>Incluída</v>
      </c>
      <c r="Q83" s="51" t="str">
        <f aca="false">IF(INDEX(SAG_Status,MATCH("Administração|"&amp;$B83,SAG_Key,0))="O",INDEX(SAG_PP,MATCH("Administração|"&amp;$B83,SAG_Key,0))*INDEX(RelUni,MATCH($B83,Cov_Cod,0),4)*(1+sig_SAG)/(1-load_SAG)*(1+tax_SAG),IF(INDEX(SAG_Status,MATCH("Administração|"&amp;$B83,SAG_Key,0))="B","Incluída","n.d."))</f>
        <v>Incluída</v>
      </c>
      <c r="R83" s="51" t="str">
        <f aca="false">IF(INDEX(SAG_Status,MATCH("Administração|"&amp;$B83,SAG_Key,0))="O",INDEX(SAG_PP,MATCH("Administração|"&amp;$B83,SAG_Key,0))*INDEX(RelUni,MATCH($B83,Cov_Cod,0),5)*(1+sig_SAG)/(1-load_SAG)*(1+tax_SAG),IF(INDEX(SAG_Status,MATCH("Administração|"&amp;$B83,SAG_Key,0))="B","Incluída","n.d."))</f>
        <v>Incluída</v>
      </c>
    </row>
    <row r="84" customFormat="false" ht="15" hidden="false" customHeight="false" outlineLevel="0" collapsed="false">
      <c r="B84" s="21" t="s">
        <v>164</v>
      </c>
      <c r="C84" s="38" t="str">
        <f aca="false">INDEX(Cov_Nome,MATCH(B84,Cov_Cod,0))</f>
        <v>Urgência Hospitalar</v>
      </c>
      <c r="D84" s="52" t="str">
        <f aca="false">IF(INDEX(SAG_Status,MATCH("Colaboradores|"&amp;$B84,SAG_Key,0))="O",INDEX(SAG_PP,MATCH("Colaboradores|"&amp;$B84,SAG_Key,0))*INDEX(RelUni,MATCH($B84,Cov_Cod,0),1)*(1+sig_SAG)/(1-load_SAG)*(1+tax_SAG),IF(INDEX(SAG_Status,MATCH("Colaboradores|"&amp;$B84,SAG_Key,0))="B","Incluída","n.d."))</f>
        <v>Incluída</v>
      </c>
      <c r="E84" s="52" t="str">
        <f aca="false">IF(INDEX(SAG_Status,MATCH("Colaboradores|"&amp;$B84,SAG_Key,0))="O",INDEX(SAG_PP,MATCH("Colaboradores|"&amp;$B84,SAG_Key,0))*INDEX(RelUni,MATCH($B84,Cov_Cod,0),2)*(1+sig_SAG)/(1-load_SAG)*(1+tax_SAG),IF(INDEX(SAG_Status,MATCH("Colaboradores|"&amp;$B84,SAG_Key,0))="B","Incluída","n.d."))</f>
        <v>Incluída</v>
      </c>
      <c r="F84" s="52" t="str">
        <f aca="false">IF(INDEX(SAG_Status,MATCH("Colaboradores|"&amp;$B84,SAG_Key,0))="O",INDEX(SAG_PP,MATCH("Colaboradores|"&amp;$B84,SAG_Key,0))*INDEX(RelUni,MATCH($B84,Cov_Cod,0),3)*(1+sig_SAG)/(1-load_SAG)*(1+tax_SAG),IF(INDEX(SAG_Status,MATCH("Colaboradores|"&amp;$B84,SAG_Key,0))="B","Incluída","n.d."))</f>
        <v>Incluída</v>
      </c>
      <c r="G84" s="52" t="str">
        <f aca="false">IF(INDEX(SAG_Status,MATCH("Colaboradores|"&amp;$B84,SAG_Key,0))="O",INDEX(SAG_PP,MATCH("Colaboradores|"&amp;$B84,SAG_Key,0))*INDEX(RelUni,MATCH($B84,Cov_Cod,0),4)*(1+sig_SAG)/(1-load_SAG)*(1+tax_SAG),IF(INDEX(SAG_Status,MATCH("Colaboradores|"&amp;$B84,SAG_Key,0))="B","Incluída","n.d."))</f>
        <v>Incluída</v>
      </c>
      <c r="H84" s="52" t="str">
        <f aca="false">IF(INDEX(SAG_Status,MATCH("Colaboradores|"&amp;$B84,SAG_Key,0))="O",INDEX(SAG_PP,MATCH("Colaboradores|"&amp;$B84,SAG_Key,0))*INDEX(RelUni,MATCH($B84,Cov_Cod,0),5)*(1+sig_SAG)/(1-load_SAG)*(1+tax_SAG),IF(INDEX(SAG_Status,MATCH("Colaboradores|"&amp;$B84,SAG_Key,0))="B","Incluída","n.d."))</f>
        <v>Incluída</v>
      </c>
      <c r="I84" s="52" t="str">
        <f aca="false">IF(INDEX(SAG_Status,MATCH("Quadros Médios|"&amp;$B84,SAG_Key,0))="O",INDEX(SAG_PP,MATCH("Quadros Médios|"&amp;$B84,SAG_Key,0))*INDEX(RelUni,MATCH($B84,Cov_Cod,0),1)*(1+sig_SAG)/(1-load_SAG)*(1+tax_SAG),IF(INDEX(SAG_Status,MATCH("Quadros Médios|"&amp;$B84,SAG_Key,0))="B","Incluída","n.d."))</f>
        <v>Incluída</v>
      </c>
      <c r="J84" s="52" t="str">
        <f aca="false">IF(INDEX(SAG_Status,MATCH("Quadros Médios|"&amp;$B84,SAG_Key,0))="O",INDEX(SAG_PP,MATCH("Quadros Médios|"&amp;$B84,SAG_Key,0))*INDEX(RelUni,MATCH($B84,Cov_Cod,0),2)*(1+sig_SAG)/(1-load_SAG)*(1+tax_SAG),IF(INDEX(SAG_Status,MATCH("Quadros Médios|"&amp;$B84,SAG_Key,0))="B","Incluída","n.d."))</f>
        <v>Incluída</v>
      </c>
      <c r="K84" s="52" t="str">
        <f aca="false">IF(INDEX(SAG_Status,MATCH("Quadros Médios|"&amp;$B84,SAG_Key,0))="O",INDEX(SAG_PP,MATCH("Quadros Médios|"&amp;$B84,SAG_Key,0))*INDEX(RelUni,MATCH($B84,Cov_Cod,0),3)*(1+sig_SAG)/(1-load_SAG)*(1+tax_SAG),IF(INDEX(SAG_Status,MATCH("Quadros Médios|"&amp;$B84,SAG_Key,0))="B","Incluída","n.d."))</f>
        <v>Incluída</v>
      </c>
      <c r="L84" s="52" t="str">
        <f aca="false">IF(INDEX(SAG_Status,MATCH("Quadros Médios|"&amp;$B84,SAG_Key,0))="O",INDEX(SAG_PP,MATCH("Quadros Médios|"&amp;$B84,SAG_Key,0))*INDEX(RelUni,MATCH($B84,Cov_Cod,0),4)*(1+sig_SAG)/(1-load_SAG)*(1+tax_SAG),IF(INDEX(SAG_Status,MATCH("Quadros Médios|"&amp;$B84,SAG_Key,0))="B","Incluída","n.d."))</f>
        <v>Incluída</v>
      </c>
      <c r="M84" s="52" t="str">
        <f aca="false">IF(INDEX(SAG_Status,MATCH("Quadros Médios|"&amp;$B84,SAG_Key,0))="O",INDEX(SAG_PP,MATCH("Quadros Médios|"&amp;$B84,SAG_Key,0))*INDEX(RelUni,MATCH($B84,Cov_Cod,0),5)*(1+sig_SAG)/(1-load_SAG)*(1+tax_SAG),IF(INDEX(SAG_Status,MATCH("Quadros Médios|"&amp;$B84,SAG_Key,0))="B","Incluída","n.d."))</f>
        <v>Incluída</v>
      </c>
      <c r="N84" s="52" t="str">
        <f aca="false">IF(INDEX(SAG_Status,MATCH("Administração|"&amp;$B84,SAG_Key,0))="O",INDEX(SAG_PP,MATCH("Administração|"&amp;$B84,SAG_Key,0))*INDEX(RelUni,MATCH($B84,Cov_Cod,0),1)*(1+sig_SAG)/(1-load_SAG)*(1+tax_SAG),IF(INDEX(SAG_Status,MATCH("Administração|"&amp;$B84,SAG_Key,0))="B","Incluída","n.d."))</f>
        <v>Incluída</v>
      </c>
      <c r="O84" s="52" t="str">
        <f aca="false">IF(INDEX(SAG_Status,MATCH("Administração|"&amp;$B84,SAG_Key,0))="O",INDEX(SAG_PP,MATCH("Administração|"&amp;$B84,SAG_Key,0))*INDEX(RelUni,MATCH($B84,Cov_Cod,0),2)*(1+sig_SAG)/(1-load_SAG)*(1+tax_SAG),IF(INDEX(SAG_Status,MATCH("Administração|"&amp;$B84,SAG_Key,0))="B","Incluída","n.d."))</f>
        <v>Incluída</v>
      </c>
      <c r="P84" s="52" t="str">
        <f aca="false">IF(INDEX(SAG_Status,MATCH("Administração|"&amp;$B84,SAG_Key,0))="O",INDEX(SAG_PP,MATCH("Administração|"&amp;$B84,SAG_Key,0))*INDEX(RelUni,MATCH($B84,Cov_Cod,0),3)*(1+sig_SAG)/(1-load_SAG)*(1+tax_SAG),IF(INDEX(SAG_Status,MATCH("Administração|"&amp;$B84,SAG_Key,0))="B","Incluída","n.d."))</f>
        <v>Incluída</v>
      </c>
      <c r="Q84" s="52" t="str">
        <f aca="false">IF(INDEX(SAG_Status,MATCH("Administração|"&amp;$B84,SAG_Key,0))="O",INDEX(SAG_PP,MATCH("Administração|"&amp;$B84,SAG_Key,0))*INDEX(RelUni,MATCH($B84,Cov_Cod,0),4)*(1+sig_SAG)/(1-load_SAG)*(1+tax_SAG),IF(INDEX(SAG_Status,MATCH("Administração|"&amp;$B84,SAG_Key,0))="B","Incluída","n.d."))</f>
        <v>Incluída</v>
      </c>
      <c r="R84" s="52" t="str">
        <f aca="false">IF(INDEX(SAG_Status,MATCH("Administração|"&amp;$B84,SAG_Key,0))="O",INDEX(SAG_PP,MATCH("Administração|"&amp;$B84,SAG_Key,0))*INDEX(RelUni,MATCH($B84,Cov_Cod,0),5)*(1+sig_SAG)/(1-load_SAG)*(1+tax_SAG),IF(INDEX(SAG_Status,MATCH("Administração|"&amp;$B84,SAG_Key,0))="B","Incluída","n.d."))</f>
        <v>Incluída</v>
      </c>
    </row>
    <row r="85" customFormat="false" ht="15" hidden="false" customHeight="false" outlineLevel="0" collapsed="false">
      <c r="B85" s="16" t="s">
        <v>167</v>
      </c>
      <c r="C85" s="32" t="str">
        <f aca="false">INDEX(Cov_Nome,MATCH(B85,Cov_Cod,0))</f>
        <v>Transporte em Ambulância / Emergência Médica</v>
      </c>
      <c r="D85" s="51" t="str">
        <f aca="false">IF(INDEX(SAG_Status,MATCH("Colaboradores|"&amp;$B85,SAG_Key,0))="O",INDEX(SAG_PP,MATCH("Colaboradores|"&amp;$B85,SAG_Key,0))*INDEX(RelUni,MATCH($B85,Cov_Cod,0),1)*(1+sig_SAG)/(1-load_SAG)*(1+tax_SAG),IF(INDEX(SAG_Status,MATCH("Colaboradores|"&amp;$B85,SAG_Key,0))="B","Incluída","n.d."))</f>
        <v>Incluída</v>
      </c>
      <c r="E85" s="51" t="str">
        <f aca="false">IF(INDEX(SAG_Status,MATCH("Colaboradores|"&amp;$B85,SAG_Key,0))="O",INDEX(SAG_PP,MATCH("Colaboradores|"&amp;$B85,SAG_Key,0))*INDEX(RelUni,MATCH($B85,Cov_Cod,0),2)*(1+sig_SAG)/(1-load_SAG)*(1+tax_SAG),IF(INDEX(SAG_Status,MATCH("Colaboradores|"&amp;$B85,SAG_Key,0))="B","Incluída","n.d."))</f>
        <v>Incluída</v>
      </c>
      <c r="F85" s="51" t="str">
        <f aca="false">IF(INDEX(SAG_Status,MATCH("Colaboradores|"&amp;$B85,SAG_Key,0))="O",INDEX(SAG_PP,MATCH("Colaboradores|"&amp;$B85,SAG_Key,0))*INDEX(RelUni,MATCH($B85,Cov_Cod,0),3)*(1+sig_SAG)/(1-load_SAG)*(1+tax_SAG),IF(INDEX(SAG_Status,MATCH("Colaboradores|"&amp;$B85,SAG_Key,0))="B","Incluída","n.d."))</f>
        <v>Incluída</v>
      </c>
      <c r="G85" s="51" t="str">
        <f aca="false">IF(INDEX(SAG_Status,MATCH("Colaboradores|"&amp;$B85,SAG_Key,0))="O",INDEX(SAG_PP,MATCH("Colaboradores|"&amp;$B85,SAG_Key,0))*INDEX(RelUni,MATCH($B85,Cov_Cod,0),4)*(1+sig_SAG)/(1-load_SAG)*(1+tax_SAG),IF(INDEX(SAG_Status,MATCH("Colaboradores|"&amp;$B85,SAG_Key,0))="B","Incluída","n.d."))</f>
        <v>Incluída</v>
      </c>
      <c r="H85" s="51" t="str">
        <f aca="false">IF(INDEX(SAG_Status,MATCH("Colaboradores|"&amp;$B85,SAG_Key,0))="O",INDEX(SAG_PP,MATCH("Colaboradores|"&amp;$B85,SAG_Key,0))*INDEX(RelUni,MATCH($B85,Cov_Cod,0),5)*(1+sig_SAG)/(1-load_SAG)*(1+tax_SAG),IF(INDEX(SAG_Status,MATCH("Colaboradores|"&amp;$B85,SAG_Key,0))="B","Incluída","n.d."))</f>
        <v>Incluída</v>
      </c>
      <c r="I85" s="51" t="str">
        <f aca="false">IF(INDEX(SAG_Status,MATCH("Quadros Médios|"&amp;$B85,SAG_Key,0))="O",INDEX(SAG_PP,MATCH("Quadros Médios|"&amp;$B85,SAG_Key,0))*INDEX(RelUni,MATCH($B85,Cov_Cod,0),1)*(1+sig_SAG)/(1-load_SAG)*(1+tax_SAG),IF(INDEX(SAG_Status,MATCH("Quadros Médios|"&amp;$B85,SAG_Key,0))="B","Incluída","n.d."))</f>
        <v>Incluída</v>
      </c>
      <c r="J85" s="51" t="str">
        <f aca="false">IF(INDEX(SAG_Status,MATCH("Quadros Médios|"&amp;$B85,SAG_Key,0))="O",INDEX(SAG_PP,MATCH("Quadros Médios|"&amp;$B85,SAG_Key,0))*INDEX(RelUni,MATCH($B85,Cov_Cod,0),2)*(1+sig_SAG)/(1-load_SAG)*(1+tax_SAG),IF(INDEX(SAG_Status,MATCH("Quadros Médios|"&amp;$B85,SAG_Key,0))="B","Incluída","n.d."))</f>
        <v>Incluída</v>
      </c>
      <c r="K85" s="51" t="str">
        <f aca="false">IF(INDEX(SAG_Status,MATCH("Quadros Médios|"&amp;$B85,SAG_Key,0))="O",INDEX(SAG_PP,MATCH("Quadros Médios|"&amp;$B85,SAG_Key,0))*INDEX(RelUni,MATCH($B85,Cov_Cod,0),3)*(1+sig_SAG)/(1-load_SAG)*(1+tax_SAG),IF(INDEX(SAG_Status,MATCH("Quadros Médios|"&amp;$B85,SAG_Key,0))="B","Incluída","n.d."))</f>
        <v>Incluída</v>
      </c>
      <c r="L85" s="51" t="str">
        <f aca="false">IF(INDEX(SAG_Status,MATCH("Quadros Médios|"&amp;$B85,SAG_Key,0))="O",INDEX(SAG_PP,MATCH("Quadros Médios|"&amp;$B85,SAG_Key,0))*INDEX(RelUni,MATCH($B85,Cov_Cod,0),4)*(1+sig_SAG)/(1-load_SAG)*(1+tax_SAG),IF(INDEX(SAG_Status,MATCH("Quadros Médios|"&amp;$B85,SAG_Key,0))="B","Incluída","n.d."))</f>
        <v>Incluída</v>
      </c>
      <c r="M85" s="51" t="str">
        <f aca="false">IF(INDEX(SAG_Status,MATCH("Quadros Médios|"&amp;$B85,SAG_Key,0))="O",INDEX(SAG_PP,MATCH("Quadros Médios|"&amp;$B85,SAG_Key,0))*INDEX(RelUni,MATCH($B85,Cov_Cod,0),5)*(1+sig_SAG)/(1-load_SAG)*(1+tax_SAG),IF(INDEX(SAG_Status,MATCH("Quadros Médios|"&amp;$B85,SAG_Key,0))="B","Incluída","n.d."))</f>
        <v>Incluída</v>
      </c>
      <c r="N85" s="51" t="str">
        <f aca="false">IF(INDEX(SAG_Status,MATCH("Administração|"&amp;$B85,SAG_Key,0))="O",INDEX(SAG_PP,MATCH("Administração|"&amp;$B85,SAG_Key,0))*INDEX(RelUni,MATCH($B85,Cov_Cod,0),1)*(1+sig_SAG)/(1-load_SAG)*(1+tax_SAG),IF(INDEX(SAG_Status,MATCH("Administração|"&amp;$B85,SAG_Key,0))="B","Incluída","n.d."))</f>
        <v>Incluída</v>
      </c>
      <c r="O85" s="51" t="str">
        <f aca="false">IF(INDEX(SAG_Status,MATCH("Administração|"&amp;$B85,SAG_Key,0))="O",INDEX(SAG_PP,MATCH("Administração|"&amp;$B85,SAG_Key,0))*INDEX(RelUni,MATCH($B85,Cov_Cod,0),2)*(1+sig_SAG)/(1-load_SAG)*(1+tax_SAG),IF(INDEX(SAG_Status,MATCH("Administração|"&amp;$B85,SAG_Key,0))="B","Incluída","n.d."))</f>
        <v>Incluída</v>
      </c>
      <c r="P85" s="51" t="str">
        <f aca="false">IF(INDEX(SAG_Status,MATCH("Administração|"&amp;$B85,SAG_Key,0))="O",INDEX(SAG_PP,MATCH("Administração|"&amp;$B85,SAG_Key,0))*INDEX(RelUni,MATCH($B85,Cov_Cod,0),3)*(1+sig_SAG)/(1-load_SAG)*(1+tax_SAG),IF(INDEX(SAG_Status,MATCH("Administração|"&amp;$B85,SAG_Key,0))="B","Incluída","n.d."))</f>
        <v>Incluída</v>
      </c>
      <c r="Q85" s="51" t="str">
        <f aca="false">IF(INDEX(SAG_Status,MATCH("Administração|"&amp;$B85,SAG_Key,0))="O",INDEX(SAG_PP,MATCH("Administração|"&amp;$B85,SAG_Key,0))*INDEX(RelUni,MATCH($B85,Cov_Cod,0),4)*(1+sig_SAG)/(1-load_SAG)*(1+tax_SAG),IF(INDEX(SAG_Status,MATCH("Administração|"&amp;$B85,SAG_Key,0))="B","Incluída","n.d."))</f>
        <v>Incluída</v>
      </c>
      <c r="R85" s="51" t="str">
        <f aca="false">IF(INDEX(SAG_Status,MATCH("Administração|"&amp;$B85,SAG_Key,0))="O",INDEX(SAG_PP,MATCH("Administração|"&amp;$B85,SAG_Key,0))*INDEX(RelUni,MATCH($B85,Cov_Cod,0),5)*(1+sig_SAG)/(1-load_SAG)*(1+tax_SAG),IF(INDEX(SAG_Status,MATCH("Administração|"&amp;$B85,SAG_Key,0))="B","Incluída","n.d."))</f>
        <v>Incluída</v>
      </c>
    </row>
    <row r="86" customFormat="false" ht="15" hidden="false" customHeight="false" outlineLevel="0" collapsed="false">
      <c r="B86" s="21" t="s">
        <v>172</v>
      </c>
      <c r="C86" s="38" t="str">
        <f aca="false">INDEX(Cov_Nome,MATCH(B86,Cov_Cod,0))</f>
        <v>Medicamentos em Ambulatório (Farmácia)</v>
      </c>
      <c r="D86" s="52" t="n">
        <f aca="false">IF(INDEX(SAG_Status,MATCH("Colaboradores|"&amp;$B86,SAG_Key,0))="O",INDEX(SAG_PP,MATCH("Colaboradores|"&amp;$B86,SAG_Key,0))*INDEX(RelUni,MATCH($B86,Cov_Cod,0),1)*(1+sig_SAG)/(1-load_SAG)*(1+tax_SAG),IF(INDEX(SAG_Status,MATCH("Colaboradores|"&amp;$B86,SAG_Key,0))="B","Incluída","n.d."))</f>
        <v>57894.56363717</v>
      </c>
      <c r="E86" s="52" t="n">
        <f aca="false">IF(INDEX(SAG_Status,MATCH("Colaboradores|"&amp;$B86,SAG_Key,0))="O",INDEX(SAG_PP,MATCH("Colaboradores|"&amp;$B86,SAG_Key,0))*INDEX(RelUni,MATCH($B86,Cov_Cod,0),2)*(1+sig_SAG)/(1-load_SAG)*(1+tax_SAG),IF(INDEX(SAG_Status,MATCH("Colaboradores|"&amp;$B86,SAG_Key,0))="B","Incluída","n.d."))</f>
        <v>106072.557153416</v>
      </c>
      <c r="F86" s="52" t="n">
        <f aca="false">IF(INDEX(SAG_Status,MATCH("Colaboradores|"&amp;$B86,SAG_Key,0))="O",INDEX(SAG_PP,MATCH("Colaboradores|"&amp;$B86,SAG_Key,0))*INDEX(RelUni,MATCH($B86,Cov_Cod,0),3)*(1+sig_SAG)/(1-load_SAG)*(1+tax_SAG),IF(INDEX(SAG_Status,MATCH("Colaboradores|"&amp;$B86,SAG_Key,0))="B","Incluída","n.d."))</f>
        <v>150525.865456642</v>
      </c>
      <c r="G86" s="52" t="n">
        <f aca="false">IF(INDEX(SAG_Status,MATCH("Colaboradores|"&amp;$B86,SAG_Key,0))="O",INDEX(SAG_PP,MATCH("Colaboradores|"&amp;$B86,SAG_Key,0))*INDEX(RelUni,MATCH($B86,Cov_Cod,0),4)*(1+sig_SAG)/(1-load_SAG)*(1+tax_SAG),IF(INDEX(SAG_Status,MATCH("Colaboradores|"&amp;$B86,SAG_Key,0))="B","Incluída","n.d."))</f>
        <v>235536.857190538</v>
      </c>
      <c r="H86" s="52" t="n">
        <f aca="false">IF(INDEX(SAG_Status,MATCH("Colaboradores|"&amp;$B86,SAG_Key,0))="O",INDEX(SAG_PP,MATCH("Colaboradores|"&amp;$B86,SAG_Key,0))*INDEX(RelUni,MATCH($B86,Cov_Cod,0),5)*(1+sig_SAG)/(1-load_SAG)*(1+tax_SAG),IF(INDEX(SAG_Status,MATCH("Colaboradores|"&amp;$B86,SAG_Key,0))="B","Incluída","n.d."))</f>
        <v>302833.10210212</v>
      </c>
      <c r="I86" s="52" t="n">
        <f aca="false">IF(INDEX(SAG_Status,MATCH("Quadros Médios|"&amp;$B86,SAG_Key,0))="O",INDEX(SAG_PP,MATCH("Quadros Médios|"&amp;$B86,SAG_Key,0))*INDEX(RelUni,MATCH($B86,Cov_Cod,0),1)*(1+sig_SAG)/(1-load_SAG)*(1+tax_SAG),IF(INDEX(SAG_Status,MATCH("Quadros Médios|"&amp;$B86,SAG_Key,0))="B","Incluída","n.d."))</f>
        <v>60660.7564112561</v>
      </c>
      <c r="J86" s="52" t="n">
        <f aca="false">IF(INDEX(SAG_Status,MATCH("Quadros Médios|"&amp;$B86,SAG_Key,0))="O",INDEX(SAG_PP,MATCH("Quadros Médios|"&amp;$B86,SAG_Key,0))*INDEX(RelUni,MATCH($B86,Cov_Cod,0),2)*(1+sig_SAG)/(1-load_SAG)*(1+tax_SAG),IF(INDEX(SAG_Status,MATCH("Quadros Médios|"&amp;$B86,SAG_Key,0))="B","Incluída","n.d."))</f>
        <v>111140.686571672</v>
      </c>
      <c r="K86" s="52" t="n">
        <f aca="false">IF(INDEX(SAG_Status,MATCH("Quadros Médios|"&amp;$B86,SAG_Key,0))="O",INDEX(SAG_PP,MATCH("Quadros Médios|"&amp;$B86,SAG_Key,0))*INDEX(RelUni,MATCH($B86,Cov_Cod,0),3)*(1+sig_SAG)/(1-load_SAG)*(1+tax_SAG),IF(INDEX(SAG_Status,MATCH("Quadros Médios|"&amp;$B86,SAG_Key,0))="B","Incluída","n.d."))</f>
        <v>157717.966669266</v>
      </c>
      <c r="L86" s="52" t="n">
        <f aca="false">IF(INDEX(SAG_Status,MATCH("Quadros Médios|"&amp;$B86,SAG_Key,0))="O",INDEX(SAG_PP,MATCH("Quadros Médios|"&amp;$B86,SAG_Key,0))*INDEX(RelUni,MATCH($B86,Cov_Cod,0),4)*(1+sig_SAG)/(1-load_SAG)*(1+tax_SAG),IF(INDEX(SAG_Status,MATCH("Quadros Médios|"&amp;$B86,SAG_Key,0))="B","Incluída","n.d."))</f>
        <v>246790.769673145</v>
      </c>
      <c r="M86" s="52" t="n">
        <f aca="false">IF(INDEX(SAG_Status,MATCH("Quadros Médios|"&amp;$B86,SAG_Key,0))="O",INDEX(SAG_PP,MATCH("Quadros Médios|"&amp;$B86,SAG_Key,0))*INDEX(RelUni,MATCH($B86,Cov_Cod,0),5)*(1+sig_SAG)/(1-load_SAG)*(1+tax_SAG),IF(INDEX(SAG_Status,MATCH("Quadros Médios|"&amp;$B86,SAG_Key,0))="B","Incluída","n.d."))</f>
        <v>317302.418151186</v>
      </c>
      <c r="N86" s="52" t="str">
        <f aca="false">IF(INDEX(SAG_Status,MATCH("Administração|"&amp;$B86,SAG_Key,0))="O",INDEX(SAG_PP,MATCH("Administração|"&amp;$B86,SAG_Key,0))*INDEX(RelUni,MATCH($B86,Cov_Cod,0),1)*(1+sig_SAG)/(1-load_SAG)*(1+tax_SAG),IF(INDEX(SAG_Status,MATCH("Administração|"&amp;$B86,SAG_Key,0))="B","Incluída","n.d."))</f>
        <v>Incluída</v>
      </c>
      <c r="O86" s="52" t="str">
        <f aca="false">IF(INDEX(SAG_Status,MATCH("Administração|"&amp;$B86,SAG_Key,0))="O",INDEX(SAG_PP,MATCH("Administração|"&amp;$B86,SAG_Key,0))*INDEX(RelUni,MATCH($B86,Cov_Cod,0),2)*(1+sig_SAG)/(1-load_SAG)*(1+tax_SAG),IF(INDEX(SAG_Status,MATCH("Administração|"&amp;$B86,SAG_Key,0))="B","Incluída","n.d."))</f>
        <v>Incluída</v>
      </c>
      <c r="P86" s="52" t="str">
        <f aca="false">IF(INDEX(SAG_Status,MATCH("Administração|"&amp;$B86,SAG_Key,0))="O",INDEX(SAG_PP,MATCH("Administração|"&amp;$B86,SAG_Key,0))*INDEX(RelUni,MATCH($B86,Cov_Cod,0),3)*(1+sig_SAG)/(1-load_SAG)*(1+tax_SAG),IF(INDEX(SAG_Status,MATCH("Administração|"&amp;$B86,SAG_Key,0))="B","Incluída","n.d."))</f>
        <v>Incluída</v>
      </c>
      <c r="Q86" s="52" t="str">
        <f aca="false">IF(INDEX(SAG_Status,MATCH("Administração|"&amp;$B86,SAG_Key,0))="O",INDEX(SAG_PP,MATCH("Administração|"&amp;$B86,SAG_Key,0))*INDEX(RelUni,MATCH($B86,Cov_Cod,0),4)*(1+sig_SAG)/(1-load_SAG)*(1+tax_SAG),IF(INDEX(SAG_Status,MATCH("Administração|"&amp;$B86,SAG_Key,0))="B","Incluída","n.d."))</f>
        <v>Incluída</v>
      </c>
      <c r="R86" s="52" t="str">
        <f aca="false">IF(INDEX(SAG_Status,MATCH("Administração|"&amp;$B86,SAG_Key,0))="O",INDEX(SAG_PP,MATCH("Administração|"&amp;$B86,SAG_Key,0))*INDEX(RelUni,MATCH($B86,Cov_Cod,0),5)*(1+sig_SAG)/(1-load_SAG)*(1+tax_SAG),IF(INDEX(SAG_Status,MATCH("Administração|"&amp;$B86,SAG_Key,0))="B","Incluída","n.d."))</f>
        <v>Incluída</v>
      </c>
    </row>
    <row r="87" customFormat="false" ht="15" hidden="false" customHeight="false" outlineLevel="0" collapsed="false">
      <c r="B87" s="16" t="s">
        <v>176</v>
      </c>
      <c r="C87" s="32" t="str">
        <f aca="false">INDEX(Cov_Nome,MATCH(B87,Cov_Cod,0))</f>
        <v>Estomatologia (tratamentos)</v>
      </c>
      <c r="D87" s="51" t="n">
        <f aca="false">IF(INDEX(SAG_Status,MATCH("Colaboradores|"&amp;$B87,SAG_Key,0))="O",INDEX(SAG_PP,MATCH("Colaboradores|"&amp;$B87,SAG_Key,0))*INDEX(RelUni,MATCH($B87,Cov_Cod,0),1)*(1+sig_SAG)/(1-load_SAG)*(1+tax_SAG),IF(INDEX(SAG_Status,MATCH("Colaboradores|"&amp;$B87,SAG_Key,0))="B","Incluída","n.d."))</f>
        <v>34246.9191389032</v>
      </c>
      <c r="E87" s="51" t="n">
        <f aca="false">IF(INDEX(SAG_Status,MATCH("Colaboradores|"&amp;$B87,SAG_Key,0))="O",INDEX(SAG_PP,MATCH("Colaboradores|"&amp;$B87,SAG_Key,0))*INDEX(RelUni,MATCH($B87,Cov_Cod,0),2)*(1+sig_SAG)/(1-load_SAG)*(1+tax_SAG),IF(INDEX(SAG_Status,MATCH("Colaboradores|"&amp;$B87,SAG_Key,0))="B","Incluída","n.d."))</f>
        <v>43174.9261336707</v>
      </c>
      <c r="F87" s="51" t="n">
        <f aca="false">IF(INDEX(SAG_Status,MATCH("Colaboradores|"&amp;$B87,SAG_Key,0))="O",INDEX(SAG_PP,MATCH("Colaboradores|"&amp;$B87,SAG_Key,0))*INDEX(RelUni,MATCH($B87,Cov_Cod,0),3)*(1+sig_SAG)/(1-load_SAG)*(1+tax_SAG),IF(INDEX(SAG_Status,MATCH("Colaboradores|"&amp;$B87,SAG_Key,0))="B","Incluída","n.d."))</f>
        <v>46132.6146047578</v>
      </c>
      <c r="G87" s="51" t="n">
        <f aca="false">IF(INDEX(SAG_Status,MATCH("Colaboradores|"&amp;$B87,SAG_Key,0))="O",INDEX(SAG_PP,MATCH("Colaboradores|"&amp;$B87,SAG_Key,0))*INDEX(RelUni,MATCH($B87,Cov_Cod,0),4)*(1+sig_SAG)/(1-load_SAG)*(1+tax_SAG),IF(INDEX(SAG_Status,MATCH("Colaboradores|"&amp;$B87,SAG_Key,0))="B","Incluída","n.d."))</f>
        <v>43200.3620510347</v>
      </c>
      <c r="H87" s="51" t="n">
        <f aca="false">IF(INDEX(SAG_Status,MATCH("Colaboradores|"&amp;$B87,SAG_Key,0))="O",INDEX(SAG_PP,MATCH("Colaboradores|"&amp;$B87,SAG_Key,0))*INDEX(RelUni,MATCH($B87,Cov_Cod,0),5)*(1+sig_SAG)/(1-load_SAG)*(1+tax_SAG),IF(INDEX(SAG_Status,MATCH("Colaboradores|"&amp;$B87,SAG_Key,0))="B","Incluída","n.d."))</f>
        <v>32232.3944836736</v>
      </c>
      <c r="I87" s="51" t="n">
        <f aca="false">IF(INDEX(SAG_Status,MATCH("Quadros Médios|"&amp;$B87,SAG_Key,0))="O",INDEX(SAG_PP,MATCH("Quadros Médios|"&amp;$B87,SAG_Key,0))*INDEX(RelUni,MATCH($B87,Cov_Cod,0),1)*(1+sig_SAG)/(1-load_SAG)*(1+tax_SAG),IF(INDEX(SAG_Status,MATCH("Quadros Médios|"&amp;$B87,SAG_Key,0))="B","Incluída","n.d."))</f>
        <v>41341.3440483288</v>
      </c>
      <c r="J87" s="51" t="n">
        <f aca="false">IF(INDEX(SAG_Status,MATCH("Quadros Médios|"&amp;$B87,SAG_Key,0))="O",INDEX(SAG_PP,MATCH("Quadros Médios|"&amp;$B87,SAG_Key,0))*INDEX(RelUni,MATCH($B87,Cov_Cod,0),2)*(1+sig_SAG)/(1-load_SAG)*(1+tax_SAG),IF(INDEX(SAG_Status,MATCH("Quadros Médios|"&amp;$B87,SAG_Key,0))="B","Incluída","n.d."))</f>
        <v>52118.8334726926</v>
      </c>
      <c r="K87" s="51" t="n">
        <f aca="false">IF(INDEX(SAG_Status,MATCH("Quadros Médios|"&amp;$B87,SAG_Key,0))="O",INDEX(SAG_PP,MATCH("Quadros Médios|"&amp;$B87,SAG_Key,0))*INDEX(RelUni,MATCH($B87,Cov_Cod,0),3)*(1+sig_SAG)/(1-load_SAG)*(1+tax_SAG),IF(INDEX(SAG_Status,MATCH("Quadros Médios|"&amp;$B87,SAG_Key,0))="B","Incluída","n.d."))</f>
        <v>55689.2222768665</v>
      </c>
      <c r="L87" s="51" t="n">
        <f aca="false">IF(INDEX(SAG_Status,MATCH("Quadros Médios|"&amp;$B87,SAG_Key,0))="O",INDEX(SAG_PP,MATCH("Quadros Médios|"&amp;$B87,SAG_Key,0))*INDEX(RelUni,MATCH($B87,Cov_Cod,0),4)*(1+sig_SAG)/(1-load_SAG)*(1+tax_SAG),IF(INDEX(SAG_Status,MATCH("Quadros Médios|"&amp;$B87,SAG_Key,0))="B","Incluída","n.d."))</f>
        <v>52149.5385707677</v>
      </c>
      <c r="M87" s="51" t="n">
        <f aca="false">IF(INDEX(SAG_Status,MATCH("Quadros Médios|"&amp;$B87,SAG_Key,0))="O",INDEX(SAG_PP,MATCH("Quadros Médios|"&amp;$B87,SAG_Key,0))*INDEX(RelUni,MATCH($B87,Cov_Cod,0),5)*(1+sig_SAG)/(1-load_SAG)*(1+tax_SAG),IF(INDEX(SAG_Status,MATCH("Quadros Médios|"&amp;$B87,SAG_Key,0))="B","Incluída","n.d."))</f>
        <v>38909.5002807801</v>
      </c>
      <c r="N87" s="51" t="str">
        <f aca="false">IF(INDEX(SAG_Status,MATCH("Administração|"&amp;$B87,SAG_Key,0))="O",INDEX(SAG_PP,MATCH("Administração|"&amp;$B87,SAG_Key,0))*INDEX(RelUni,MATCH($B87,Cov_Cod,0),1)*(1+sig_SAG)/(1-load_SAG)*(1+tax_SAG),IF(INDEX(SAG_Status,MATCH("Administração|"&amp;$B87,SAG_Key,0))="B","Incluída","n.d."))</f>
        <v>Incluída</v>
      </c>
      <c r="O87" s="51" t="str">
        <f aca="false">IF(INDEX(SAG_Status,MATCH("Administração|"&amp;$B87,SAG_Key,0))="O",INDEX(SAG_PP,MATCH("Administração|"&amp;$B87,SAG_Key,0))*INDEX(RelUni,MATCH($B87,Cov_Cod,0),2)*(1+sig_SAG)/(1-load_SAG)*(1+tax_SAG),IF(INDEX(SAG_Status,MATCH("Administração|"&amp;$B87,SAG_Key,0))="B","Incluída","n.d."))</f>
        <v>Incluída</v>
      </c>
      <c r="P87" s="51" t="str">
        <f aca="false">IF(INDEX(SAG_Status,MATCH("Administração|"&amp;$B87,SAG_Key,0))="O",INDEX(SAG_PP,MATCH("Administração|"&amp;$B87,SAG_Key,0))*INDEX(RelUni,MATCH($B87,Cov_Cod,0),3)*(1+sig_SAG)/(1-load_SAG)*(1+tax_SAG),IF(INDEX(SAG_Status,MATCH("Administração|"&amp;$B87,SAG_Key,0))="B","Incluída","n.d."))</f>
        <v>Incluída</v>
      </c>
      <c r="Q87" s="51" t="str">
        <f aca="false">IF(INDEX(SAG_Status,MATCH("Administração|"&amp;$B87,SAG_Key,0))="O",INDEX(SAG_PP,MATCH("Administração|"&amp;$B87,SAG_Key,0))*INDEX(RelUni,MATCH($B87,Cov_Cod,0),4)*(1+sig_SAG)/(1-load_SAG)*(1+tax_SAG),IF(INDEX(SAG_Status,MATCH("Administração|"&amp;$B87,SAG_Key,0))="B","Incluída","n.d."))</f>
        <v>Incluída</v>
      </c>
      <c r="R87" s="51" t="str">
        <f aca="false">IF(INDEX(SAG_Status,MATCH("Administração|"&amp;$B87,SAG_Key,0))="O",INDEX(SAG_PP,MATCH("Administração|"&amp;$B87,SAG_Key,0))*INDEX(RelUni,MATCH($B87,Cov_Cod,0),5)*(1+sig_SAG)/(1-load_SAG)*(1+tax_SAG),IF(INDEX(SAG_Status,MATCH("Administração|"&amp;$B87,SAG_Key,0))="B","Incluída","n.d."))</f>
        <v>Incluída</v>
      </c>
    </row>
    <row r="88" customFormat="false" ht="15" hidden="false" customHeight="false" outlineLevel="0" collapsed="false">
      <c r="B88" s="21" t="s">
        <v>180</v>
      </c>
      <c r="C88" s="38" t="str">
        <f aca="false">INDEX(Cov_Nome,MATCH(B88,Cov_Cod,0))</f>
        <v>Próteses Dentárias</v>
      </c>
      <c r="D88" s="52" t="n">
        <f aca="false">IF(INDEX(SAG_Status,MATCH("Colaboradores|"&amp;$B88,SAG_Key,0))="O",INDEX(SAG_PP,MATCH("Colaboradores|"&amp;$B88,SAG_Key,0))*INDEX(RelUni,MATCH($B88,Cov_Cod,0),1)*(1+sig_SAG)/(1-load_SAG)*(1+tax_SAG),IF(INDEX(SAG_Status,MATCH("Colaboradores|"&amp;$B88,SAG_Key,0))="B","Incluída","n.d."))</f>
        <v>263.480159142461</v>
      </c>
      <c r="E88" s="52" t="n">
        <f aca="false">IF(INDEX(SAG_Status,MATCH("Colaboradores|"&amp;$B88,SAG_Key,0))="O",INDEX(SAG_PP,MATCH("Colaboradores|"&amp;$B88,SAG_Key,0))*INDEX(RelUni,MATCH($B88,Cov_Cod,0),2)*(1+sig_SAG)/(1-load_SAG)*(1+tax_SAG),IF(INDEX(SAG_Status,MATCH("Colaboradores|"&amp;$B88,SAG_Key,0))="B","Incluída","n.d."))</f>
        <v>2634.80159142461</v>
      </c>
      <c r="F88" s="52" t="n">
        <f aca="false">IF(INDEX(SAG_Status,MATCH("Colaboradores|"&amp;$B88,SAG_Key,0))="O",INDEX(SAG_PP,MATCH("Colaboradores|"&amp;$B88,SAG_Key,0))*INDEX(RelUni,MATCH($B88,Cov_Cod,0),3)*(1+sig_SAG)/(1-load_SAG)*(1+tax_SAG),IF(INDEX(SAG_Status,MATCH("Colaboradores|"&amp;$B88,SAG_Key,0))="B","Incluída","n.d."))</f>
        <v>5796.56350113415</v>
      </c>
      <c r="G88" s="52" t="n">
        <f aca="false">IF(INDEX(SAG_Status,MATCH("Colaboradores|"&amp;$B88,SAG_Key,0))="O",INDEX(SAG_PP,MATCH("Colaboradores|"&amp;$B88,SAG_Key,0))*INDEX(RelUni,MATCH($B88,Cov_Cod,0),4)*(1+sig_SAG)/(1-load_SAG)*(1+tax_SAG),IF(INDEX(SAG_Status,MATCH("Colaboradores|"&amp;$B88,SAG_Key,0))="B","Incluída","n.d."))</f>
        <v>9221.80556998614</v>
      </c>
      <c r="H88" s="52" t="n">
        <f aca="false">IF(INDEX(SAG_Status,MATCH("Colaboradores|"&amp;$B88,SAG_Key,0))="O",INDEX(SAG_PP,MATCH("Colaboradores|"&amp;$B88,SAG_Key,0))*INDEX(RelUni,MATCH($B88,Cov_Cod,0),5)*(1+sig_SAG)/(1-load_SAG)*(1+tax_SAG),IF(INDEX(SAG_Status,MATCH("Colaboradores|"&amp;$B88,SAG_Key,0))="B","Incluída","n.d."))</f>
        <v>10539.2063656984</v>
      </c>
      <c r="I88" s="52" t="n">
        <f aca="false">IF(INDEX(SAG_Status,MATCH("Quadros Médios|"&amp;$B88,SAG_Key,0))="O",INDEX(SAG_PP,MATCH("Quadros Médios|"&amp;$B88,SAG_Key,0))*INDEX(RelUni,MATCH($B88,Cov_Cod,0),1)*(1+sig_SAG)/(1-load_SAG)*(1+tax_SAG),IF(INDEX(SAG_Status,MATCH("Quadros Médios|"&amp;$B88,SAG_Key,0))="B","Incluída","n.d."))</f>
        <v>580.200808060294</v>
      </c>
      <c r="J88" s="52" t="n">
        <f aca="false">IF(INDEX(SAG_Status,MATCH("Quadros Médios|"&amp;$B88,SAG_Key,0))="O",INDEX(SAG_PP,MATCH("Quadros Médios|"&amp;$B88,SAG_Key,0))*INDEX(RelUni,MATCH($B88,Cov_Cod,0),2)*(1+sig_SAG)/(1-load_SAG)*(1+tax_SAG),IF(INDEX(SAG_Status,MATCH("Quadros Médios|"&amp;$B88,SAG_Key,0))="B","Incluída","n.d."))</f>
        <v>5802.00808060294</v>
      </c>
      <c r="K88" s="52" t="n">
        <f aca="false">IF(INDEX(SAG_Status,MATCH("Quadros Médios|"&amp;$B88,SAG_Key,0))="O",INDEX(SAG_PP,MATCH("Quadros Médios|"&amp;$B88,SAG_Key,0))*INDEX(RelUni,MATCH($B88,Cov_Cod,0),3)*(1+sig_SAG)/(1-load_SAG)*(1+tax_SAG),IF(INDEX(SAG_Status,MATCH("Quadros Médios|"&amp;$B88,SAG_Key,0))="B","Incluída","n.d."))</f>
        <v>12764.4177773265</v>
      </c>
      <c r="L88" s="52" t="n">
        <f aca="false">IF(INDEX(SAG_Status,MATCH("Quadros Médios|"&amp;$B88,SAG_Key,0))="O",INDEX(SAG_PP,MATCH("Quadros Médios|"&amp;$B88,SAG_Key,0))*INDEX(RelUni,MATCH($B88,Cov_Cod,0),4)*(1+sig_SAG)/(1-load_SAG)*(1+tax_SAG),IF(INDEX(SAG_Status,MATCH("Quadros Médios|"&amp;$B88,SAG_Key,0))="B","Incluída","n.d."))</f>
        <v>20307.0282821103</v>
      </c>
      <c r="M88" s="52" t="n">
        <f aca="false">IF(INDEX(SAG_Status,MATCH("Quadros Médios|"&amp;$B88,SAG_Key,0))="O",INDEX(SAG_PP,MATCH("Quadros Médios|"&amp;$B88,SAG_Key,0))*INDEX(RelUni,MATCH($B88,Cov_Cod,0),5)*(1+sig_SAG)/(1-load_SAG)*(1+tax_SAG),IF(INDEX(SAG_Status,MATCH("Quadros Médios|"&amp;$B88,SAG_Key,0))="B","Incluída","n.d."))</f>
        <v>23208.0323224118</v>
      </c>
      <c r="N88" s="52" t="str">
        <f aca="false">IF(INDEX(SAG_Status,MATCH("Administração|"&amp;$B88,SAG_Key,0))="O",INDEX(SAG_PP,MATCH("Administração|"&amp;$B88,SAG_Key,0))*INDEX(RelUni,MATCH($B88,Cov_Cod,0),1)*(1+sig_SAG)/(1-load_SAG)*(1+tax_SAG),IF(INDEX(SAG_Status,MATCH("Administração|"&amp;$B88,SAG_Key,0))="B","Incluída","n.d."))</f>
        <v>Incluída</v>
      </c>
      <c r="O88" s="52" t="str">
        <f aca="false">IF(INDEX(SAG_Status,MATCH("Administração|"&amp;$B88,SAG_Key,0))="O",INDEX(SAG_PP,MATCH("Administração|"&amp;$B88,SAG_Key,0))*INDEX(RelUni,MATCH($B88,Cov_Cod,0),2)*(1+sig_SAG)/(1-load_SAG)*(1+tax_SAG),IF(INDEX(SAG_Status,MATCH("Administração|"&amp;$B88,SAG_Key,0))="B","Incluída","n.d."))</f>
        <v>Incluída</v>
      </c>
      <c r="P88" s="52" t="str">
        <f aca="false">IF(INDEX(SAG_Status,MATCH("Administração|"&amp;$B88,SAG_Key,0))="O",INDEX(SAG_PP,MATCH("Administração|"&amp;$B88,SAG_Key,0))*INDEX(RelUni,MATCH($B88,Cov_Cod,0),3)*(1+sig_SAG)/(1-load_SAG)*(1+tax_SAG),IF(INDEX(SAG_Status,MATCH("Administração|"&amp;$B88,SAG_Key,0))="B","Incluída","n.d."))</f>
        <v>Incluída</v>
      </c>
      <c r="Q88" s="52" t="str">
        <f aca="false">IF(INDEX(SAG_Status,MATCH("Administração|"&amp;$B88,SAG_Key,0))="O",INDEX(SAG_PP,MATCH("Administração|"&amp;$B88,SAG_Key,0))*INDEX(RelUni,MATCH($B88,Cov_Cod,0),4)*(1+sig_SAG)/(1-load_SAG)*(1+tax_SAG),IF(INDEX(SAG_Status,MATCH("Administração|"&amp;$B88,SAG_Key,0))="B","Incluída","n.d."))</f>
        <v>Incluída</v>
      </c>
      <c r="R88" s="52" t="str">
        <f aca="false">IF(INDEX(SAG_Status,MATCH("Administração|"&amp;$B88,SAG_Key,0))="O",INDEX(SAG_PP,MATCH("Administração|"&amp;$B88,SAG_Key,0))*INDEX(RelUni,MATCH($B88,Cov_Cod,0),5)*(1+sig_SAG)/(1-load_SAG)*(1+tax_SAG),IF(INDEX(SAG_Status,MATCH("Administração|"&amp;$B88,SAG_Key,0))="B","Incluída","n.d."))</f>
        <v>Incluída</v>
      </c>
    </row>
    <row r="89" customFormat="false" ht="15" hidden="false" customHeight="false" outlineLevel="0" collapsed="false">
      <c r="B89" s="16" t="s">
        <v>184</v>
      </c>
      <c r="C89" s="32" t="str">
        <f aca="false">INDEX(Cov_Nome,MATCH(B89,Cov_Cod,0))</f>
        <v>Óptica — Lentes e Armações</v>
      </c>
      <c r="D89" s="51" t="n">
        <f aca="false">IF(INDEX(SAG_Status,MATCH("Colaboradores|"&amp;$B89,SAG_Key,0))="O",INDEX(SAG_PP,MATCH("Colaboradores|"&amp;$B89,SAG_Key,0))*INDEX(RelUni,MATCH($B89,Cov_Cod,0),1)*(1+sig_SAG)/(1-load_SAG)*(1+tax_SAG),IF(INDEX(SAG_Status,MATCH("Colaboradores|"&amp;$B89,SAG_Key,0))="B","Incluída","n.d."))</f>
        <v>9655.42473345174</v>
      </c>
      <c r="E89" s="51" t="n">
        <f aca="false">IF(INDEX(SAG_Status,MATCH("Colaboradores|"&amp;$B89,SAG_Key,0))="O",INDEX(SAG_PP,MATCH("Colaboradores|"&amp;$B89,SAG_Key,0))*INDEX(RelUni,MATCH($B89,Cov_Cod,0),2)*(1+sig_SAG)/(1-load_SAG)*(1+tax_SAG),IF(INDEX(SAG_Status,MATCH("Colaboradores|"&amp;$B89,SAG_Key,0))="B","Incluída","n.d."))</f>
        <v>21315.1794263939</v>
      </c>
      <c r="F89" s="51" t="n">
        <f aca="false">IF(INDEX(SAG_Status,MATCH("Colaboradores|"&amp;$B89,SAG_Key,0))="O",INDEX(SAG_PP,MATCH("Colaboradores|"&amp;$B89,SAG_Key,0))*INDEX(RelUni,MATCH($B89,Cov_Cod,0),3)*(1+sig_SAG)/(1-load_SAG)*(1+tax_SAG),IF(INDEX(SAG_Status,MATCH("Colaboradores|"&amp;$B89,SAG_Key,0))="B","Incluída","n.d."))</f>
        <v>35500.6394004019</v>
      </c>
      <c r="G89" s="51" t="n">
        <f aca="false">IF(INDEX(SAG_Status,MATCH("Colaboradores|"&amp;$B89,SAG_Key,0))="O",INDEX(SAG_PP,MATCH("Colaboradores|"&amp;$B89,SAG_Key,0))*INDEX(RelUni,MATCH($B89,Cov_Cod,0),4)*(1+sig_SAG)/(1-load_SAG)*(1+tax_SAG),IF(INDEX(SAG_Status,MATCH("Colaboradores|"&amp;$B89,SAG_Key,0))="B","Incluída","n.d."))</f>
        <v>47695.8606398268</v>
      </c>
      <c r="H89" s="51" t="n">
        <f aca="false">IF(INDEX(SAG_Status,MATCH("Colaboradores|"&amp;$B89,SAG_Key,0))="O",INDEX(SAG_PP,MATCH("Colaboradores|"&amp;$B89,SAG_Key,0))*INDEX(RelUni,MATCH($B89,Cov_Cod,0),5)*(1+sig_SAG)/(1-load_SAG)*(1+tax_SAG),IF(INDEX(SAG_Status,MATCH("Colaboradores|"&amp;$B89,SAG_Key,0))="B","Incluída","n.d."))</f>
        <v>49783.4687024008</v>
      </c>
      <c r="I89" s="51" t="n">
        <f aca="false">IF(INDEX(SAG_Status,MATCH("Quadros Médios|"&amp;$B89,SAG_Key,0))="O",INDEX(SAG_PP,MATCH("Quadros Médios|"&amp;$B89,SAG_Key,0))*INDEX(RelUni,MATCH($B89,Cov_Cod,0),1)*(1+sig_SAG)/(1-load_SAG)*(1+tax_SAG),IF(INDEX(SAG_Status,MATCH("Quadros Médios|"&amp;$B89,SAG_Key,0))="B","Incluída","n.d."))</f>
        <v>15893.8686543871</v>
      </c>
      <c r="J89" s="51" t="n">
        <f aca="false">IF(INDEX(SAG_Status,MATCH("Quadros Médios|"&amp;$B89,SAG_Key,0))="O",INDEX(SAG_PP,MATCH("Quadros Médios|"&amp;$B89,SAG_Key,0))*INDEX(RelUni,MATCH($B89,Cov_Cod,0),2)*(1+sig_SAG)/(1-load_SAG)*(1+tax_SAG),IF(INDEX(SAG_Status,MATCH("Quadros Médios|"&amp;$B89,SAG_Key,0))="B","Incluída","n.d."))</f>
        <v>35087.0802165828</v>
      </c>
      <c r="K89" s="51" t="n">
        <f aca="false">IF(INDEX(SAG_Status,MATCH("Quadros Médios|"&amp;$B89,SAG_Key,0))="O",INDEX(SAG_PP,MATCH("Quadros Médios|"&amp;$B89,SAG_Key,0))*INDEX(RelUni,MATCH($B89,Cov_Cod,0),3)*(1+sig_SAG)/(1-load_SAG)*(1+tax_SAG),IF(INDEX(SAG_Status,MATCH("Quadros Médios|"&amp;$B89,SAG_Key,0))="B","Incluída","n.d."))</f>
        <v>58437.8745993326</v>
      </c>
      <c r="L89" s="51" t="n">
        <f aca="false">IF(INDEX(SAG_Status,MATCH("Quadros Médios|"&amp;$B89,SAG_Key,0))="O",INDEX(SAG_PP,MATCH("Quadros Médios|"&amp;$B89,SAG_Key,0))*INDEX(RelUni,MATCH($B89,Cov_Cod,0),4)*(1+sig_SAG)/(1-load_SAG)*(1+tax_SAG),IF(INDEX(SAG_Status,MATCH("Quadros Médios|"&amp;$B89,SAG_Key,0))="B","Incluída","n.d."))</f>
        <v>78512.521747591</v>
      </c>
      <c r="M89" s="51" t="n">
        <f aca="false">IF(INDEX(SAG_Status,MATCH("Quadros Médios|"&amp;$B89,SAG_Key,0))="O",INDEX(SAG_PP,MATCH("Quadros Médios|"&amp;$B89,SAG_Key,0))*INDEX(RelUni,MATCH($B89,Cov_Cod,0),5)*(1+sig_SAG)/(1-load_SAG)*(1+tax_SAG),IF(INDEX(SAG_Status,MATCH("Quadros Médios|"&amp;$B89,SAG_Key,0))="B","Incluída","n.d."))</f>
        <v>81948.9493791416</v>
      </c>
      <c r="N89" s="51" t="str">
        <f aca="false">IF(INDEX(SAG_Status,MATCH("Administração|"&amp;$B89,SAG_Key,0))="O",INDEX(SAG_PP,MATCH("Administração|"&amp;$B89,SAG_Key,0))*INDEX(RelUni,MATCH($B89,Cov_Cod,0),1)*(1+sig_SAG)/(1-load_SAG)*(1+tax_SAG),IF(INDEX(SAG_Status,MATCH("Administração|"&amp;$B89,SAG_Key,0))="B","Incluída","n.d."))</f>
        <v>Incluída</v>
      </c>
      <c r="O89" s="51" t="str">
        <f aca="false">IF(INDEX(SAG_Status,MATCH("Administração|"&amp;$B89,SAG_Key,0))="O",INDEX(SAG_PP,MATCH("Administração|"&amp;$B89,SAG_Key,0))*INDEX(RelUni,MATCH($B89,Cov_Cod,0),2)*(1+sig_SAG)/(1-load_SAG)*(1+tax_SAG),IF(INDEX(SAG_Status,MATCH("Administração|"&amp;$B89,SAG_Key,0))="B","Incluída","n.d."))</f>
        <v>Incluída</v>
      </c>
      <c r="P89" s="51" t="str">
        <f aca="false">IF(INDEX(SAG_Status,MATCH("Administração|"&amp;$B89,SAG_Key,0))="O",INDEX(SAG_PP,MATCH("Administração|"&amp;$B89,SAG_Key,0))*INDEX(RelUni,MATCH($B89,Cov_Cod,0),3)*(1+sig_SAG)/(1-load_SAG)*(1+tax_SAG),IF(INDEX(SAG_Status,MATCH("Administração|"&amp;$B89,SAG_Key,0))="B","Incluída","n.d."))</f>
        <v>Incluída</v>
      </c>
      <c r="Q89" s="51" t="str">
        <f aca="false">IF(INDEX(SAG_Status,MATCH("Administração|"&amp;$B89,SAG_Key,0))="O",INDEX(SAG_PP,MATCH("Administração|"&amp;$B89,SAG_Key,0))*INDEX(RelUni,MATCH($B89,Cov_Cod,0),4)*(1+sig_SAG)/(1-load_SAG)*(1+tax_SAG),IF(INDEX(SAG_Status,MATCH("Administração|"&amp;$B89,SAG_Key,0))="B","Incluída","n.d."))</f>
        <v>Incluída</v>
      </c>
      <c r="R89" s="51" t="str">
        <f aca="false">IF(INDEX(SAG_Status,MATCH("Administração|"&amp;$B89,SAG_Key,0))="O",INDEX(SAG_PP,MATCH("Administração|"&amp;$B89,SAG_Key,0))*INDEX(RelUni,MATCH($B89,Cov_Cod,0),5)*(1+sig_SAG)/(1-load_SAG)*(1+tax_SAG),IF(INDEX(SAG_Status,MATCH("Administração|"&amp;$B89,SAG_Key,0))="B","Incluída","n.d."))</f>
        <v>Incluída</v>
      </c>
    </row>
    <row r="90" customFormat="false" ht="15" hidden="false" customHeight="false" outlineLevel="0" collapsed="false">
      <c r="B90" s="21" t="s">
        <v>188</v>
      </c>
      <c r="C90" s="38" t="str">
        <f aca="false">INDEX(Cov_Nome,MATCH(B90,Cov_Cod,0))</f>
        <v>Medicina Preventiva e Check-up Anual</v>
      </c>
      <c r="D90" s="52" t="n">
        <f aca="false">IF(INDEX(SAG_Status,MATCH("Colaboradores|"&amp;$B90,SAG_Key,0))="O",INDEX(SAG_PP,MATCH("Colaboradores|"&amp;$B90,SAG_Key,0))*INDEX(RelUni,MATCH($B90,Cov_Cod,0),1)*(1+sig_SAG)/(1-load_SAG)*(1+tax_SAG),IF(INDEX(SAG_Status,MATCH("Colaboradores|"&amp;$B90,SAG_Key,0))="B","Incluída","n.d."))</f>
        <v>32043.1972577901</v>
      </c>
      <c r="E90" s="52" t="n">
        <f aca="false">IF(INDEX(SAG_Status,MATCH("Colaboradores|"&amp;$B90,SAG_Key,0))="O",INDEX(SAG_PP,MATCH("Colaboradores|"&amp;$B90,SAG_Key,0))*INDEX(RelUni,MATCH($B90,Cov_Cod,0),2)*(1+sig_SAG)/(1-load_SAG)*(1+tax_SAG),IF(INDEX(SAG_Status,MATCH("Colaboradores|"&amp;$B90,SAG_Key,0))="B","Incluída","n.d."))</f>
        <v>55954.2194539441</v>
      </c>
      <c r="F90" s="52" t="n">
        <f aca="false">IF(INDEX(SAG_Status,MATCH("Colaboradores|"&amp;$B90,SAG_Key,0))="O",INDEX(SAG_PP,MATCH("Colaboradores|"&amp;$B90,SAG_Key,0))*INDEX(RelUni,MATCH($B90,Cov_Cod,0),3)*(1+sig_SAG)/(1-load_SAG)*(1+tax_SAG),IF(INDEX(SAG_Status,MATCH("Colaboradores|"&amp;$B90,SAG_Key,0))="B","Incluída","n.d."))</f>
        <v>70628.5472890458</v>
      </c>
      <c r="G90" s="52" t="n">
        <f aca="false">IF(INDEX(SAG_Status,MATCH("Colaboradores|"&amp;$B90,SAG_Key,0))="O",INDEX(SAG_PP,MATCH("Colaboradores|"&amp;$B90,SAG_Key,0))*INDEX(RelUni,MATCH($B90,Cov_Cod,0),4)*(1+sig_SAG)/(1-load_SAG)*(1+tax_SAG),IF(INDEX(SAG_Status,MATCH("Colaboradores|"&amp;$B90,SAG_Key,0))="B","Incluída","n.d."))</f>
        <v>80107.9931444754</v>
      </c>
      <c r="H90" s="52" t="n">
        <f aca="false">IF(INDEX(SAG_Status,MATCH("Colaboradores|"&amp;$B90,SAG_Key,0))="O",INDEX(SAG_PP,MATCH("Colaboradores|"&amp;$B90,SAG_Key,0))*INDEX(RelUni,MATCH($B90,Cov_Cod,0),5)*(1+sig_SAG)/(1-load_SAG)*(1+tax_SAG),IF(INDEX(SAG_Status,MATCH("Colaboradores|"&amp;$B90,SAG_Key,0))="B","Incluída","n.d."))</f>
        <v>85448.5260207737</v>
      </c>
      <c r="I90" s="52" t="n">
        <f aca="false">IF(INDEX(SAG_Status,MATCH("Quadros Médios|"&amp;$B90,SAG_Key,0))="O",INDEX(SAG_PP,MATCH("Quadros Médios|"&amp;$B90,SAG_Key,0))*INDEX(RelUni,MATCH($B90,Cov_Cod,0),1)*(1+sig_SAG)/(1-load_SAG)*(1+tax_SAG),IF(INDEX(SAG_Status,MATCH("Quadros Médios|"&amp;$B90,SAG_Key,0))="B","Incluída","n.d."))</f>
        <v>39601.8789907012</v>
      </c>
      <c r="J90" s="52" t="n">
        <f aca="false">IF(INDEX(SAG_Status,MATCH("Quadros Médios|"&amp;$B90,SAG_Key,0))="O",INDEX(SAG_PP,MATCH("Quadros Médios|"&amp;$B90,SAG_Key,0))*INDEX(RelUni,MATCH($B90,Cov_Cod,0),2)*(1+sig_SAG)/(1-load_SAG)*(1+tax_SAG),IF(INDEX(SAG_Status,MATCH("Quadros Médios|"&amp;$B90,SAG_Key,0))="B","Incluída","n.d."))</f>
        <v>69153.2811163381</v>
      </c>
      <c r="K90" s="52" t="n">
        <f aca="false">IF(INDEX(SAG_Status,MATCH("Quadros Médios|"&amp;$B90,SAG_Key,0))="O",INDEX(SAG_PP,MATCH("Quadros Médios|"&amp;$B90,SAG_Key,0))*INDEX(RelUni,MATCH($B90,Cov_Cod,0),3)*(1+sig_SAG)/(1-load_SAG)*(1+tax_SAG),IF(INDEX(SAG_Status,MATCH("Quadros Médios|"&amp;$B90,SAG_Key,0))="B","Incluída","n.d."))</f>
        <v>87289.1416086706</v>
      </c>
      <c r="L90" s="52" t="n">
        <f aca="false">IF(INDEX(SAG_Status,MATCH("Quadros Médios|"&amp;$B90,SAG_Key,0))="O",INDEX(SAG_PP,MATCH("Quadros Médios|"&amp;$B90,SAG_Key,0))*INDEX(RelUni,MATCH($B90,Cov_Cod,0),4)*(1+sig_SAG)/(1-load_SAG)*(1+tax_SAG),IF(INDEX(SAG_Status,MATCH("Quadros Médios|"&amp;$B90,SAG_Key,0))="B","Incluída","n.d."))</f>
        <v>99004.6974767531</v>
      </c>
      <c r="M90" s="52" t="n">
        <f aca="false">IF(INDEX(SAG_Status,MATCH("Quadros Médios|"&amp;$B90,SAG_Key,0))="O",INDEX(SAG_PP,MATCH("Quadros Médios|"&amp;$B90,SAG_Key,0))*INDEX(RelUni,MATCH($B90,Cov_Cod,0),5)*(1+sig_SAG)/(1-load_SAG)*(1+tax_SAG),IF(INDEX(SAG_Status,MATCH("Quadros Médios|"&amp;$B90,SAG_Key,0))="B","Incluída","n.d."))</f>
        <v>105605.01064187</v>
      </c>
      <c r="N90" s="52" t="str">
        <f aca="false">IF(INDEX(SAG_Status,MATCH("Administração|"&amp;$B90,SAG_Key,0))="O",INDEX(SAG_PP,MATCH("Administração|"&amp;$B90,SAG_Key,0))*INDEX(RelUni,MATCH($B90,Cov_Cod,0),1)*(1+sig_SAG)/(1-load_SAG)*(1+tax_SAG),IF(INDEX(SAG_Status,MATCH("Administração|"&amp;$B90,SAG_Key,0))="B","Incluída","n.d."))</f>
        <v>Incluída</v>
      </c>
      <c r="O90" s="52" t="str">
        <f aca="false">IF(INDEX(SAG_Status,MATCH("Administração|"&amp;$B90,SAG_Key,0))="O",INDEX(SAG_PP,MATCH("Administração|"&amp;$B90,SAG_Key,0))*INDEX(RelUni,MATCH($B90,Cov_Cod,0),2)*(1+sig_SAG)/(1-load_SAG)*(1+tax_SAG),IF(INDEX(SAG_Status,MATCH("Administração|"&amp;$B90,SAG_Key,0))="B","Incluída","n.d."))</f>
        <v>Incluída</v>
      </c>
      <c r="P90" s="52" t="str">
        <f aca="false">IF(INDEX(SAG_Status,MATCH("Administração|"&amp;$B90,SAG_Key,0))="O",INDEX(SAG_PP,MATCH("Administração|"&amp;$B90,SAG_Key,0))*INDEX(RelUni,MATCH($B90,Cov_Cod,0),3)*(1+sig_SAG)/(1-load_SAG)*(1+tax_SAG),IF(INDEX(SAG_Status,MATCH("Administração|"&amp;$B90,SAG_Key,0))="B","Incluída","n.d."))</f>
        <v>Incluída</v>
      </c>
      <c r="Q90" s="52" t="str">
        <f aca="false">IF(INDEX(SAG_Status,MATCH("Administração|"&amp;$B90,SAG_Key,0))="O",INDEX(SAG_PP,MATCH("Administração|"&amp;$B90,SAG_Key,0))*INDEX(RelUni,MATCH($B90,Cov_Cod,0),4)*(1+sig_SAG)/(1-load_SAG)*(1+tax_SAG),IF(INDEX(SAG_Status,MATCH("Administração|"&amp;$B90,SAG_Key,0))="B","Incluída","n.d."))</f>
        <v>Incluída</v>
      </c>
      <c r="R90" s="52" t="str">
        <f aca="false">IF(INDEX(SAG_Status,MATCH("Administração|"&amp;$B90,SAG_Key,0))="O",INDEX(SAG_PP,MATCH("Administração|"&amp;$B90,SAG_Key,0))*INDEX(RelUni,MATCH($B90,Cov_Cod,0),5)*(1+sig_SAG)/(1-load_SAG)*(1+tax_SAG),IF(INDEX(SAG_Status,MATCH("Administração|"&amp;$B90,SAG_Key,0))="B","Incluída","n.d."))</f>
        <v>Incluída</v>
      </c>
    </row>
    <row r="91" customFormat="false" ht="15" hidden="false" customHeight="false" outlineLevel="0" collapsed="false">
      <c r="B91" s="16" t="s">
        <v>192</v>
      </c>
      <c r="C91" s="32" t="str">
        <f aca="false">INDEX(Cov_Nome,MATCH(B91,Cov_Cod,0))</f>
        <v>Evacuação Médica e Cobertura no Estrangeiro</v>
      </c>
      <c r="D91" s="51" t="str">
        <f aca="false">IF(INDEX(SAG_Status,MATCH("Colaboradores|"&amp;$B91,SAG_Key,0))="O",INDEX(SAG_PP,MATCH("Colaboradores|"&amp;$B91,SAG_Key,0))*INDEX(RelUni,MATCH($B91,Cov_Cod,0),1)*(1+sig_SAG)/(1-load_SAG)*(1+tax_SAG),IF(INDEX(SAG_Status,MATCH("Colaboradores|"&amp;$B91,SAG_Key,0))="B","Incluída","n.d."))</f>
        <v>n.d.</v>
      </c>
      <c r="E91" s="51" t="str">
        <f aca="false">IF(INDEX(SAG_Status,MATCH("Colaboradores|"&amp;$B91,SAG_Key,0))="O",INDEX(SAG_PP,MATCH("Colaboradores|"&amp;$B91,SAG_Key,0))*INDEX(RelUni,MATCH($B91,Cov_Cod,0),2)*(1+sig_SAG)/(1-load_SAG)*(1+tax_SAG),IF(INDEX(SAG_Status,MATCH("Colaboradores|"&amp;$B91,SAG_Key,0))="B","Incluída","n.d."))</f>
        <v>n.d.</v>
      </c>
      <c r="F91" s="51" t="str">
        <f aca="false">IF(INDEX(SAG_Status,MATCH("Colaboradores|"&amp;$B91,SAG_Key,0))="O",INDEX(SAG_PP,MATCH("Colaboradores|"&amp;$B91,SAG_Key,0))*INDEX(RelUni,MATCH($B91,Cov_Cod,0),3)*(1+sig_SAG)/(1-load_SAG)*(1+tax_SAG),IF(INDEX(SAG_Status,MATCH("Colaboradores|"&amp;$B91,SAG_Key,0))="B","Incluída","n.d."))</f>
        <v>n.d.</v>
      </c>
      <c r="G91" s="51" t="str">
        <f aca="false">IF(INDEX(SAG_Status,MATCH("Colaboradores|"&amp;$B91,SAG_Key,0))="O",INDEX(SAG_PP,MATCH("Colaboradores|"&amp;$B91,SAG_Key,0))*INDEX(RelUni,MATCH($B91,Cov_Cod,0),4)*(1+sig_SAG)/(1-load_SAG)*(1+tax_SAG),IF(INDEX(SAG_Status,MATCH("Colaboradores|"&amp;$B91,SAG_Key,0))="B","Incluída","n.d."))</f>
        <v>n.d.</v>
      </c>
      <c r="H91" s="51" t="str">
        <f aca="false">IF(INDEX(SAG_Status,MATCH("Colaboradores|"&amp;$B91,SAG_Key,0))="O",INDEX(SAG_PP,MATCH("Colaboradores|"&amp;$B91,SAG_Key,0))*INDEX(RelUni,MATCH($B91,Cov_Cod,0),5)*(1+sig_SAG)/(1-load_SAG)*(1+tax_SAG),IF(INDEX(SAG_Status,MATCH("Colaboradores|"&amp;$B91,SAG_Key,0))="B","Incluída","n.d."))</f>
        <v>n.d.</v>
      </c>
      <c r="I91" s="51" t="n">
        <f aca="false">IF(INDEX(SAG_Status,MATCH("Quadros Médios|"&amp;$B91,SAG_Key,0))="O",INDEX(SAG_PP,MATCH("Quadros Médios|"&amp;$B91,SAG_Key,0))*INDEX(RelUni,MATCH($B91,Cov_Cod,0),1)*(1+sig_SAG)/(1-load_SAG)*(1+tax_SAG),IF(INDEX(SAG_Status,MATCH("Quadros Médios|"&amp;$B91,SAG_Key,0))="B","Incluída","n.d."))</f>
        <v>24474.0035411389</v>
      </c>
      <c r="J91" s="51" t="n">
        <f aca="false">IF(INDEX(SAG_Status,MATCH("Quadros Médios|"&amp;$B91,SAG_Key,0))="O",INDEX(SAG_PP,MATCH("Quadros Médios|"&amp;$B91,SAG_Key,0))*INDEX(RelUni,MATCH($B91,Cov_Cod,0),2)*(1+sig_SAG)/(1-load_SAG)*(1+tax_SAG),IF(INDEX(SAG_Status,MATCH("Quadros Médios|"&amp;$B91,SAG_Key,0))="B","Incluída","n.d."))</f>
        <v>42736.801638125</v>
      </c>
      <c r="K91" s="51" t="n">
        <f aca="false">IF(INDEX(SAG_Status,MATCH("Quadros Médios|"&amp;$B91,SAG_Key,0))="O",INDEX(SAG_PP,MATCH("Quadros Médios|"&amp;$B91,SAG_Key,0))*INDEX(RelUni,MATCH($B91,Cov_Cod,0),3)*(1+sig_SAG)/(1-load_SAG)*(1+tax_SAG),IF(INDEX(SAG_Status,MATCH("Quadros Médios|"&amp;$B91,SAG_Key,0))="B","Incluída","n.d."))</f>
        <v>65264.009443037</v>
      </c>
      <c r="L91" s="51" t="n">
        <f aca="false">IF(INDEX(SAG_Status,MATCH("Quadros Médios|"&amp;$B91,SAG_Key,0))="O",INDEX(SAG_PP,MATCH("Quadros Médios|"&amp;$B91,SAG_Key,0))*INDEX(RelUni,MATCH($B91,Cov_Cod,0),4)*(1+sig_SAG)/(1-load_SAG)*(1+tax_SAG),IF(INDEX(SAG_Status,MATCH("Quadros Médios|"&amp;$B91,SAG_Key,0))="B","Incluída","n.d."))</f>
        <v>110586.238222924</v>
      </c>
      <c r="M91" s="51" t="n">
        <f aca="false">IF(INDEX(SAG_Status,MATCH("Quadros Médios|"&amp;$B91,SAG_Key,0))="O",INDEX(SAG_PP,MATCH("Quadros Médios|"&amp;$B91,SAG_Key,0))*INDEX(RelUni,MATCH($B91,Cov_Cod,0),5)*(1+sig_SAG)/(1-load_SAG)*(1+tax_SAG),IF(INDEX(SAG_Status,MATCH("Quadros Médios|"&amp;$B91,SAG_Key,0))="B","Incluída","n.d."))</f>
        <v>159320.96422859</v>
      </c>
      <c r="N91" s="51" t="str">
        <f aca="false">IF(INDEX(SAG_Status,MATCH("Administração|"&amp;$B91,SAG_Key,0))="O",INDEX(SAG_PP,MATCH("Administração|"&amp;$B91,SAG_Key,0))*INDEX(RelUni,MATCH($B91,Cov_Cod,0),1)*(1+sig_SAG)/(1-load_SAG)*(1+tax_SAG),IF(INDEX(SAG_Status,MATCH("Administração|"&amp;$B91,SAG_Key,0))="B","Incluída","n.d."))</f>
        <v>Incluída</v>
      </c>
      <c r="O91" s="51" t="str">
        <f aca="false">IF(INDEX(SAG_Status,MATCH("Administração|"&amp;$B91,SAG_Key,0))="O",INDEX(SAG_PP,MATCH("Administração|"&amp;$B91,SAG_Key,0))*INDEX(RelUni,MATCH($B91,Cov_Cod,0),2)*(1+sig_SAG)/(1-load_SAG)*(1+tax_SAG),IF(INDEX(SAG_Status,MATCH("Administração|"&amp;$B91,SAG_Key,0))="B","Incluída","n.d."))</f>
        <v>Incluída</v>
      </c>
      <c r="P91" s="51" t="str">
        <f aca="false">IF(INDEX(SAG_Status,MATCH("Administração|"&amp;$B91,SAG_Key,0))="O",INDEX(SAG_PP,MATCH("Administração|"&amp;$B91,SAG_Key,0))*INDEX(RelUni,MATCH($B91,Cov_Cod,0),3)*(1+sig_SAG)/(1-load_SAG)*(1+tax_SAG),IF(INDEX(SAG_Status,MATCH("Administração|"&amp;$B91,SAG_Key,0))="B","Incluída","n.d."))</f>
        <v>Incluída</v>
      </c>
      <c r="Q91" s="51" t="str">
        <f aca="false">IF(INDEX(SAG_Status,MATCH("Administração|"&amp;$B91,SAG_Key,0))="O",INDEX(SAG_PP,MATCH("Administração|"&amp;$B91,SAG_Key,0))*INDEX(RelUni,MATCH($B91,Cov_Cod,0),4)*(1+sig_SAG)/(1-load_SAG)*(1+tax_SAG),IF(INDEX(SAG_Status,MATCH("Administração|"&amp;$B91,SAG_Key,0))="B","Incluída","n.d."))</f>
        <v>Incluída</v>
      </c>
      <c r="R91" s="51" t="str">
        <f aca="false">IF(INDEX(SAG_Status,MATCH("Administração|"&amp;$B91,SAG_Key,0))="O",INDEX(SAG_PP,MATCH("Administração|"&amp;$B91,SAG_Key,0))*INDEX(RelUni,MATCH($B91,Cov_Cod,0),5)*(1+sig_SAG)/(1-load_SAG)*(1+tax_SAG),IF(INDEX(SAG_Status,MATCH("Administração|"&amp;$B91,SAG_Key,0))="B","Incluída","n.d."))</f>
        <v>Incluída</v>
      </c>
    </row>
    <row r="92" customFormat="false" ht="15" hidden="false" customHeight="false" outlineLevel="0" collapsed="false">
      <c r="B92" s="21" t="s">
        <v>196</v>
      </c>
      <c r="C92" s="38" t="str">
        <f aca="false">INDEX(Cov_Nome,MATCH(B92,Cov_Cod,0))</f>
        <v>Doenças Graves — Oncologia</v>
      </c>
      <c r="D92" s="52" t="n">
        <f aca="false">IF(INDEX(SAG_Status,MATCH("Colaboradores|"&amp;$B92,SAG_Key,0))="O",INDEX(SAG_PP,MATCH("Colaboradores|"&amp;$B92,SAG_Key,0))*INDEX(RelUni,MATCH($B92,Cov_Cod,0),1)*(1+sig_SAG)/(1-load_SAG)*(1+tax_SAG),IF(INDEX(SAG_Status,MATCH("Colaboradores|"&amp;$B92,SAG_Key,0))="B","Incluída","n.d."))</f>
        <v>4393.57569960513</v>
      </c>
      <c r="E92" s="52" t="n">
        <f aca="false">IF(INDEX(SAG_Status,MATCH("Colaboradores|"&amp;$B92,SAG_Key,0))="O",INDEX(SAG_PP,MATCH("Colaboradores|"&amp;$B92,SAG_Key,0))*INDEX(RelUni,MATCH($B92,Cov_Cod,0),2)*(1+sig_SAG)/(1-load_SAG)*(1+tax_SAG),IF(INDEX(SAG_Status,MATCH("Colaboradores|"&amp;$B92,SAG_Key,0))="B","Incluída","n.d."))</f>
        <v>11303.4720271659</v>
      </c>
      <c r="F92" s="52" t="n">
        <f aca="false">IF(INDEX(SAG_Status,MATCH("Colaboradores|"&amp;$B92,SAG_Key,0))="O",INDEX(SAG_PP,MATCH("Colaboradores|"&amp;$B92,SAG_Key,0))*INDEX(RelUni,MATCH($B92,Cov_Cod,0),3)*(1+sig_SAG)/(1-load_SAG)*(1+tax_SAG),IF(INDEX(SAG_Status,MATCH("Colaboradores|"&amp;$B92,SAG_Key,0))="B","Incluída","n.d."))</f>
        <v>33259.3680460108</v>
      </c>
      <c r="G92" s="52" t="n">
        <f aca="false">IF(INDEX(SAG_Status,MATCH("Colaboradores|"&amp;$B92,SAG_Key,0))="O",INDEX(SAG_PP,MATCH("Colaboradores|"&amp;$B92,SAG_Key,0))*INDEX(RelUni,MATCH($B92,Cov_Cod,0),4)*(1+sig_SAG)/(1-load_SAG)*(1+tax_SAG),IF(INDEX(SAG_Status,MATCH("Colaboradores|"&amp;$B92,SAG_Key,0))="B","Incluída","n.d."))</f>
        <v>75178.9619710211</v>
      </c>
      <c r="H92" s="52" t="n">
        <f aca="false">IF(INDEX(SAG_Status,MATCH("Colaboradores|"&amp;$B92,SAG_Key,0))="O",INDEX(SAG_PP,MATCH("Colaboradores|"&amp;$B92,SAG_Key,0))*INDEX(RelUni,MATCH($B92,Cov_Cod,0),5)*(1+sig_SAG)/(1-load_SAG)*(1+tax_SAG),IF(INDEX(SAG_Status,MATCH("Colaboradores|"&amp;$B92,SAG_Key,0))="B","Incluída","n.d."))</f>
        <v>110614.729378294</v>
      </c>
      <c r="I92" s="52" t="n">
        <f aca="false">IF(INDEX(SAG_Status,MATCH("Quadros Médios|"&amp;$B92,SAG_Key,0))="O",INDEX(SAG_PP,MATCH("Quadros Médios|"&amp;$B92,SAG_Key,0))*INDEX(RelUni,MATCH($B92,Cov_Cod,0),1)*(1+sig_SAG)/(1-load_SAG)*(1+tax_SAG),IF(INDEX(SAG_Status,MATCH("Quadros Médios|"&amp;$B92,SAG_Key,0))="B","Incluída","n.d."))</f>
        <v>6256.40943780308</v>
      </c>
      <c r="J92" s="52" t="n">
        <f aca="false">IF(INDEX(SAG_Status,MATCH("Quadros Médios|"&amp;$B92,SAG_Key,0))="O",INDEX(SAG_PP,MATCH("Quadros Médios|"&amp;$B92,SAG_Key,0))*INDEX(RelUni,MATCH($B92,Cov_Cod,0),2)*(1+sig_SAG)/(1-load_SAG)*(1+tax_SAG),IF(INDEX(SAG_Status,MATCH("Quadros Médios|"&amp;$B92,SAG_Key,0))="B","Incluída","n.d."))</f>
        <v>16096.0351899843</v>
      </c>
      <c r="K92" s="52" t="n">
        <f aca="false">IF(INDEX(SAG_Status,MATCH("Quadros Médios|"&amp;$B92,SAG_Key,0))="O",INDEX(SAG_PP,MATCH("Quadros Médios|"&amp;$B92,SAG_Key,0))*INDEX(RelUni,MATCH($B92,Cov_Cod,0),3)*(1+sig_SAG)/(1-load_SAG)*(1+tax_SAG),IF(INDEX(SAG_Status,MATCH("Quadros Médios|"&amp;$B92,SAG_Key,0))="B","Incluída","n.d."))</f>
        <v>47361.0194441693</v>
      </c>
      <c r="L92" s="52" t="n">
        <f aca="false">IF(INDEX(SAG_Status,MATCH("Quadros Médios|"&amp;$B92,SAG_Key,0))="O",INDEX(SAG_PP,MATCH("Quadros Médios|"&amp;$B92,SAG_Key,0))*INDEX(RelUni,MATCH($B92,Cov_Cod,0),4)*(1+sig_SAG)/(1-load_SAG)*(1+tax_SAG),IF(INDEX(SAG_Status,MATCH("Quadros Médios|"&amp;$B92,SAG_Key,0))="B","Incluída","n.d."))</f>
        <v>107054.117046853</v>
      </c>
      <c r="M92" s="52" t="n">
        <f aca="false">IF(INDEX(SAG_Status,MATCH("Quadros Médios|"&amp;$B92,SAG_Key,0))="O",INDEX(SAG_PP,MATCH("Quadros Médios|"&amp;$B92,SAG_Key,0))*INDEX(RelUni,MATCH($B92,Cov_Cod,0),5)*(1+sig_SAG)/(1-load_SAG)*(1+tax_SAG),IF(INDEX(SAG_Status,MATCH("Quadros Médios|"&amp;$B92,SAG_Key,0))="B","Incluída","n.d."))</f>
        <v>157514.308198807</v>
      </c>
      <c r="N92" s="52" t="n">
        <f aca="false">IF(INDEX(SAG_Status,MATCH("Administração|"&amp;$B92,SAG_Key,0))="O",INDEX(SAG_PP,MATCH("Administração|"&amp;$B92,SAG_Key,0))*INDEX(RelUni,MATCH($B92,Cov_Cod,0),1)*(1+sig_SAG)/(1-load_SAG)*(1+tax_SAG),IF(INDEX(SAG_Status,MATCH("Administração|"&amp;$B92,SAG_Key,0))="B","Incluída","n.d."))</f>
        <v>7464.4568203554</v>
      </c>
      <c r="O92" s="52" t="n">
        <f aca="false">IF(INDEX(SAG_Status,MATCH("Administração|"&amp;$B92,SAG_Key,0))="O",INDEX(SAG_PP,MATCH("Administração|"&amp;$B92,SAG_Key,0))*INDEX(RelUni,MATCH($B92,Cov_Cod,0),2)*(1+sig_SAG)/(1-load_SAG)*(1+tax_SAG),IF(INDEX(SAG_Status,MATCH("Administração|"&amp;$B92,SAG_Key,0))="B","Incluída","n.d."))</f>
        <v>19204.0116378234</v>
      </c>
      <c r="P92" s="52" t="n">
        <f aca="false">IF(INDEX(SAG_Status,MATCH("Administração|"&amp;$B92,SAG_Key,0))="O",INDEX(SAG_PP,MATCH("Administração|"&amp;$B92,SAG_Key,0))*INDEX(RelUni,MATCH($B92,Cov_Cod,0),3)*(1+sig_SAG)/(1-load_SAG)*(1+tax_SAG),IF(INDEX(SAG_Status,MATCH("Administração|"&amp;$B92,SAG_Key,0))="B","Incluída","n.d."))</f>
        <v>56505.9381300904</v>
      </c>
      <c r="Q92" s="52" t="n">
        <f aca="false">IF(INDEX(SAG_Status,MATCH("Administração|"&amp;$B92,SAG_Key,0))="O",INDEX(SAG_PP,MATCH("Administração|"&amp;$B92,SAG_Key,0))*INDEX(RelUni,MATCH($B92,Cov_Cod,0),4)*(1+sig_SAG)/(1-load_SAG)*(1+tax_SAG),IF(INDEX(SAG_Status,MATCH("Administração|"&amp;$B92,SAG_Key,0))="B","Incluída","n.d."))</f>
        <v>127725.150037192</v>
      </c>
      <c r="R92" s="52" t="n">
        <f aca="false">IF(INDEX(SAG_Status,MATCH("Administração|"&amp;$B92,SAG_Key,0))="O",INDEX(SAG_PP,MATCH("Administração|"&amp;$B92,SAG_Key,0))*INDEX(RelUni,MATCH($B92,Cov_Cod,0),5)*(1+sig_SAG)/(1-load_SAG)*(1+tax_SAG),IF(INDEX(SAG_Status,MATCH("Administração|"&amp;$B92,SAG_Key,0))="B","Incluída","n.d."))</f>
        <v>187928.67759483</v>
      </c>
    </row>
    <row r="93" customFormat="false" ht="15" hidden="false" customHeight="false" outlineLevel="0" collapsed="false">
      <c r="B93" s="16" t="s">
        <v>200</v>
      </c>
      <c r="C93" s="32" t="str">
        <f aca="false">INDEX(Cov_Nome,MATCH(B93,Cov_Cod,0))</f>
        <v>Doenças Crónicas — Hemodiálise</v>
      </c>
      <c r="D93" s="51" t="n">
        <f aca="false">IF(INDEX(SAG_Status,MATCH("Colaboradores|"&amp;$B93,SAG_Key,0))="O",INDEX(SAG_PP,MATCH("Colaboradores|"&amp;$B93,SAG_Key,0))*INDEX(RelUni,MATCH($B93,Cov_Cod,0),1)*(1+sig_SAG)/(1-load_SAG)*(1+tax_SAG),IF(INDEX(SAG_Status,MATCH("Colaboradores|"&amp;$B93,SAG_Key,0))="B","Incluída","n.d."))</f>
        <v>658.174488079301</v>
      </c>
      <c r="E93" s="51" t="n">
        <f aca="false">IF(INDEX(SAG_Status,MATCH("Colaboradores|"&amp;$B93,SAG_Key,0))="O",INDEX(SAG_PP,MATCH("Colaboradores|"&amp;$B93,SAG_Key,0))*INDEX(RelUni,MATCH($B93,Cov_Cod,0),2)*(1+sig_SAG)/(1-load_SAG)*(1+tax_SAG),IF(INDEX(SAG_Status,MATCH("Colaboradores|"&amp;$B93,SAG_Key,0))="B","Incluída","n.d."))</f>
        <v>3133.80807392303</v>
      </c>
      <c r="F93" s="51" t="n">
        <f aca="false">IF(INDEX(SAG_Status,MATCH("Colaboradores|"&amp;$B93,SAG_Key,0))="O",INDEX(SAG_PP,MATCH("Colaboradores|"&amp;$B93,SAG_Key,0))*INDEX(RelUni,MATCH($B93,Cov_Cod,0),3)*(1+sig_SAG)/(1-load_SAG)*(1+tax_SAG),IF(INDEX(SAG_Status,MATCH("Colaboradores|"&amp;$B93,SAG_Key,0))="B","Incluída","n.d."))</f>
        <v>7782.91332153773</v>
      </c>
      <c r="G93" s="51" t="n">
        <f aca="false">IF(INDEX(SAG_Status,MATCH("Colaboradores|"&amp;$B93,SAG_Key,0))="O",INDEX(SAG_PP,MATCH("Colaboradores|"&amp;$B93,SAG_Key,0))*INDEX(RelUni,MATCH($B93,Cov_Cod,0),4)*(1+sig_SAG)/(1-load_SAG)*(1+tax_SAG),IF(INDEX(SAG_Status,MATCH("Colaboradores|"&amp;$B93,SAG_Key,0))="B","Incluída","n.d."))</f>
        <v>17075.9714407241</v>
      </c>
      <c r="H93" s="51" t="n">
        <f aca="false">IF(INDEX(SAG_Status,MATCH("Colaboradores|"&amp;$B93,SAG_Key,0))="O",INDEX(SAG_PP,MATCH("Colaboradores|"&amp;$B93,SAG_Key,0))*INDEX(RelUni,MATCH($B93,Cov_Cod,0),5)*(1+sig_SAG)/(1-load_SAG)*(1+tax_SAG),IF(INDEX(SAG_Status,MATCH("Colaboradores|"&amp;$B93,SAG_Key,0))="B","Incluída","n.d."))</f>
        <v>23132.8974486695</v>
      </c>
      <c r="I93" s="51" t="n">
        <f aca="false">IF(INDEX(SAG_Status,MATCH("Quadros Médios|"&amp;$B93,SAG_Key,0))="O",INDEX(SAG_PP,MATCH("Quadros Médios|"&amp;$B93,SAG_Key,0))*INDEX(RelUni,MATCH($B93,Cov_Cod,0),1)*(1+sig_SAG)/(1-load_SAG)*(1+tax_SAG),IF(INDEX(SAG_Status,MATCH("Quadros Médios|"&amp;$B93,SAG_Key,0))="B","Incluída","n.d."))</f>
        <v>900.677023584826</v>
      </c>
      <c r="J93" s="51" t="n">
        <f aca="false">IF(INDEX(SAG_Status,MATCH("Quadros Médios|"&amp;$B93,SAG_Key,0))="O",INDEX(SAG_PP,MATCH("Quadros Médios|"&amp;$B93,SAG_Key,0))*INDEX(RelUni,MATCH($B93,Cov_Cod,0),2)*(1+sig_SAG)/(1-load_SAG)*(1+tax_SAG),IF(INDEX(SAG_Status,MATCH("Quadros Médios|"&amp;$B93,SAG_Key,0))="B","Incluída","n.d."))</f>
        <v>4288.45082820502</v>
      </c>
      <c r="K93" s="51" t="n">
        <f aca="false">IF(INDEX(SAG_Status,MATCH("Quadros Médios|"&amp;$B93,SAG_Key,0))="O",INDEX(SAG_PP,MATCH("Quadros Médios|"&amp;$B93,SAG_Key,0))*INDEX(RelUni,MATCH($B93,Cov_Cod,0),3)*(1+sig_SAG)/(1-load_SAG)*(1+tax_SAG),IF(INDEX(SAG_Status,MATCH("Quadros Médios|"&amp;$B93,SAG_Key,0))="B","Incluída","n.d."))</f>
        <v>10650.5058038906</v>
      </c>
      <c r="L93" s="51" t="n">
        <f aca="false">IF(INDEX(SAG_Status,MATCH("Quadros Médios|"&amp;$B93,SAG_Key,0))="O",INDEX(SAG_PP,MATCH("Quadros Médios|"&amp;$B93,SAG_Key,0))*INDEX(RelUni,MATCH($B93,Cov_Cod,0),4)*(1+sig_SAG)/(1-load_SAG)*(1+tax_SAG),IF(INDEX(SAG_Status,MATCH("Quadros Médios|"&amp;$B93,SAG_Key,0))="B","Incluída","n.d."))</f>
        <v>23367.5650007841</v>
      </c>
      <c r="M93" s="51" t="n">
        <f aca="false">IF(INDEX(SAG_Status,MATCH("Quadros Médios|"&amp;$B93,SAG_Key,0))="O",INDEX(SAG_PP,MATCH("Quadros Médios|"&amp;$B93,SAG_Key,0))*INDEX(RelUni,MATCH($B93,Cov_Cod,0),5)*(1+sig_SAG)/(1-load_SAG)*(1+tax_SAG),IF(INDEX(SAG_Status,MATCH("Quadros Médios|"&amp;$B93,SAG_Key,0))="B","Incluída","n.d."))</f>
        <v>31656.1483289372</v>
      </c>
      <c r="N93" s="51" t="n">
        <f aca="false">IF(INDEX(SAG_Status,MATCH("Administração|"&amp;$B93,SAG_Key,0))="O",INDEX(SAG_PP,MATCH("Administração|"&amp;$B93,SAG_Key,0))*INDEX(RelUni,MATCH($B93,Cov_Cod,0),1)*(1+sig_SAG)/(1-load_SAG)*(1+tax_SAG),IF(INDEX(SAG_Status,MATCH("Administração|"&amp;$B93,SAG_Key,0))="B","Incluída","n.d."))</f>
        <v>1121.12766128052</v>
      </c>
      <c r="O93" s="51" t="n">
        <f aca="false">IF(INDEX(SAG_Status,MATCH("Administração|"&amp;$B93,SAG_Key,0))="O",INDEX(SAG_PP,MATCH("Administração|"&amp;$B93,SAG_Key,0))*INDEX(RelUni,MATCH($B93,Cov_Cod,0),2)*(1+sig_SAG)/(1-load_SAG)*(1+tax_SAG),IF(INDEX(SAG_Status,MATCH("Administração|"&amp;$B93,SAG_Key,0))="B","Incluída","n.d."))</f>
        <v>5338.09647814245</v>
      </c>
      <c r="P93" s="51" t="n">
        <f aca="false">IF(INDEX(SAG_Status,MATCH("Administração|"&amp;$B93,SAG_Key,0))="O",INDEX(SAG_PP,MATCH("Administração|"&amp;$B93,SAG_Key,0))*INDEX(RelUni,MATCH($B93,Cov_Cod,0),3)*(1+sig_SAG)/(1-load_SAG)*(1+tax_SAG),IF(INDEX(SAG_Status,MATCH("Administração|"&amp;$B93,SAG_Key,0))="B","Incluída","n.d."))</f>
        <v>13257.3345946421</v>
      </c>
      <c r="Q93" s="51" t="n">
        <f aca="false">IF(INDEX(SAG_Status,MATCH("Administração|"&amp;$B93,SAG_Key,0))="O",INDEX(SAG_PP,MATCH("Administração|"&amp;$B93,SAG_Key,0))*INDEX(RelUni,MATCH($B93,Cov_Cod,0),4)*(1+sig_SAG)/(1-load_SAG)*(1+tax_SAG),IF(INDEX(SAG_Status,MATCH("Administração|"&amp;$B93,SAG_Key,0))="B","Incluída","n.d."))</f>
        <v>29087.0343232222</v>
      </c>
      <c r="R93" s="51" t="n">
        <f aca="false">IF(INDEX(SAG_Status,MATCH("Administração|"&amp;$B93,SAG_Key,0))="O",INDEX(SAG_PP,MATCH("Administração|"&amp;$B93,SAG_Key,0))*INDEX(RelUni,MATCH($B93,Cov_Cod,0),5)*(1+sig_SAG)/(1-load_SAG)*(1+tax_SAG),IF(INDEX(SAG_Status,MATCH("Administração|"&amp;$B93,SAG_Key,0))="B","Incluída","n.d."))</f>
        <v>39404.3398597122</v>
      </c>
    </row>
    <row r="95" customFormat="false" ht="15" hidden="false" customHeight="false" outlineLevel="0" collapsed="false">
      <c r="B95" s="3" t="s">
        <v>324</v>
      </c>
    </row>
    <row r="98" customFormat="false" ht="15" hidden="false" customHeight="false" outlineLevel="0" collapsed="false">
      <c r="A98" s="4" t="s">
        <v>345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customFormat="false" ht="31.5" hidden="false" customHeight="true" outlineLevel="0" collapsed="false">
      <c r="B99" s="6" t="s">
        <v>346</v>
      </c>
      <c r="C99" s="6" t="s">
        <v>347</v>
      </c>
      <c r="D99" s="6" t="s">
        <v>348</v>
      </c>
      <c r="E99" s="6" t="s">
        <v>349</v>
      </c>
      <c r="F99" s="6" t="s">
        <v>350</v>
      </c>
      <c r="G99" s="6" t="s">
        <v>204</v>
      </c>
    </row>
    <row r="100" customFormat="false" ht="15" hidden="false" customHeight="false" outlineLevel="0" collapsed="false">
      <c r="B100" s="16" t="s">
        <v>351</v>
      </c>
      <c r="C100" s="27" t="n">
        <v>5</v>
      </c>
      <c r="D100" s="27" t="n">
        <v>10</v>
      </c>
      <c r="E100" s="26" t="n">
        <v>0.15</v>
      </c>
      <c r="F100" s="26" t="n">
        <v>0.1</v>
      </c>
      <c r="G100" s="3" t="s">
        <v>352</v>
      </c>
    </row>
    <row r="101" customFormat="false" ht="15" hidden="false" customHeight="false" outlineLevel="0" collapsed="false">
      <c r="B101" s="16" t="s">
        <v>353</v>
      </c>
      <c r="C101" s="27" t="n">
        <v>11</v>
      </c>
      <c r="D101" s="27" t="n">
        <v>50</v>
      </c>
      <c r="E101" s="26" t="n">
        <v>0.05</v>
      </c>
      <c r="F101" s="26" t="n">
        <v>0.075</v>
      </c>
      <c r="G101" s="3" t="s">
        <v>354</v>
      </c>
    </row>
    <row r="102" customFormat="false" ht="15" hidden="false" customHeight="false" outlineLevel="0" collapsed="false">
      <c r="B102" s="16" t="s">
        <v>355</v>
      </c>
      <c r="C102" s="27" t="n">
        <v>51</v>
      </c>
      <c r="D102" s="27" t="n">
        <v>200</v>
      </c>
      <c r="E102" s="26" t="n">
        <v>0</v>
      </c>
      <c r="F102" s="26" t="n">
        <v>0.05</v>
      </c>
      <c r="G102" s="3" t="s">
        <v>356</v>
      </c>
    </row>
    <row r="103" customFormat="false" ht="15" hidden="false" customHeight="false" outlineLevel="0" collapsed="false">
      <c r="B103" s="16" t="s">
        <v>357</v>
      </c>
      <c r="C103" s="27" t="n">
        <v>201</v>
      </c>
      <c r="D103" s="27" t="n">
        <v>999999</v>
      </c>
      <c r="E103" s="26" t="n">
        <v>-0.08</v>
      </c>
      <c r="F103" s="26" t="n">
        <v>0.03</v>
      </c>
      <c r="G103" s="3" t="s">
        <v>358</v>
      </c>
    </row>
    <row r="105" customFormat="false" ht="31.5" hidden="false" customHeight="true" outlineLevel="0" collapsed="false">
      <c r="B105" s="6" t="s">
        <v>359</v>
      </c>
      <c r="C105" s="6" t="s">
        <v>360</v>
      </c>
      <c r="D105" s="6" t="s">
        <v>361</v>
      </c>
      <c r="E105" s="6" t="s">
        <v>204</v>
      </c>
    </row>
    <row r="106" customFormat="false" ht="15" hidden="false" customHeight="false" outlineLevel="0" collapsed="false">
      <c r="B106" s="7" t="s">
        <v>362</v>
      </c>
      <c r="C106" s="7" t="s">
        <v>363</v>
      </c>
      <c r="D106" s="26" t="n">
        <v>-0.05</v>
      </c>
      <c r="E106" s="3" t="s">
        <v>364</v>
      </c>
    </row>
    <row r="107" customFormat="false" ht="15" hidden="false" customHeight="false" outlineLevel="0" collapsed="false">
      <c r="B107" s="7" t="s">
        <v>365</v>
      </c>
      <c r="C107" s="7" t="s">
        <v>363</v>
      </c>
      <c r="D107" s="26" t="n">
        <v>0.03</v>
      </c>
      <c r="E107" s="3" t="s">
        <v>366</v>
      </c>
    </row>
    <row r="108" customFormat="false" ht="15" hidden="false" customHeight="false" outlineLevel="0" collapsed="false">
      <c r="B108" s="16" t="s">
        <v>367</v>
      </c>
      <c r="C108" s="7"/>
      <c r="D108" s="8" t="n">
        <f aca="false">(1+D106)*(1+D107)-1</f>
        <v>-0.0215000000000001</v>
      </c>
    </row>
    <row r="109" customFormat="false" ht="15" hidden="false" customHeight="false" outlineLevel="0" collapsed="false">
      <c r="B109" s="7" t="s">
        <v>368</v>
      </c>
      <c r="C109" s="26" t="n">
        <v>0</v>
      </c>
      <c r="D109" s="26" t="n">
        <v>0.3</v>
      </c>
      <c r="E109" s="3" t="s">
        <v>369</v>
      </c>
    </row>
    <row r="110" customFormat="false" ht="15" hidden="false" customHeight="false" outlineLevel="0" collapsed="false">
      <c r="B110" s="7" t="s">
        <v>368</v>
      </c>
      <c r="C110" s="26" t="n">
        <v>0.5</v>
      </c>
      <c r="D110" s="26" t="n">
        <v>0.18</v>
      </c>
      <c r="E110" s="3" t="s">
        <v>370</v>
      </c>
    </row>
    <row r="111" customFormat="false" ht="15" hidden="false" customHeight="false" outlineLevel="0" collapsed="false">
      <c r="B111" s="7" t="s">
        <v>368</v>
      </c>
      <c r="C111" s="26" t="n">
        <v>0.75</v>
      </c>
      <c r="D111" s="26" t="n">
        <v>0.08</v>
      </c>
      <c r="E111" s="3" t="s">
        <v>371</v>
      </c>
    </row>
    <row r="112" customFormat="false" ht="15" hidden="false" customHeight="false" outlineLevel="0" collapsed="false">
      <c r="B112" s="7" t="s">
        <v>368</v>
      </c>
      <c r="C112" s="26" t="n">
        <v>0.9</v>
      </c>
      <c r="D112" s="26" t="n">
        <v>0.03</v>
      </c>
      <c r="E112" s="3" t="s">
        <v>372</v>
      </c>
    </row>
    <row r="114" customFormat="false" ht="31.5" hidden="false" customHeight="true" outlineLevel="0" collapsed="false">
      <c r="B114" s="6" t="s">
        <v>373</v>
      </c>
      <c r="C114" s="6" t="s">
        <v>374</v>
      </c>
      <c r="D114" s="6" t="s">
        <v>204</v>
      </c>
    </row>
    <row r="115" customFormat="false" ht="15" hidden="false" customHeight="false" outlineLevel="0" collapsed="false">
      <c r="B115" s="7" t="s">
        <v>375</v>
      </c>
      <c r="C115" s="33" t="n">
        <v>1.15</v>
      </c>
      <c r="D115" s="3" t="s">
        <v>376</v>
      </c>
    </row>
    <row r="116" customFormat="false" ht="15" hidden="false" customHeight="false" outlineLevel="0" collapsed="false">
      <c r="B116" s="7" t="s">
        <v>377</v>
      </c>
      <c r="C116" s="33" t="n">
        <v>1.08</v>
      </c>
      <c r="D116" s="3" t="s">
        <v>378</v>
      </c>
    </row>
    <row r="117" customFormat="false" ht="15" hidden="false" customHeight="false" outlineLevel="0" collapsed="false">
      <c r="B117" s="7" t="s">
        <v>379</v>
      </c>
      <c r="C117" s="33" t="n">
        <v>1.05</v>
      </c>
      <c r="D117" s="3" t="s">
        <v>380</v>
      </c>
    </row>
    <row r="118" customFormat="false" ht="15" hidden="false" customHeight="false" outlineLevel="0" collapsed="false">
      <c r="B118" s="7" t="s">
        <v>381</v>
      </c>
      <c r="C118" s="33" t="n">
        <v>1</v>
      </c>
      <c r="D118" s="3" t="s">
        <v>382</v>
      </c>
    </row>
    <row r="119" customFormat="false" ht="15" hidden="false" customHeight="false" outlineLevel="0" collapsed="false">
      <c r="B119" s="7" t="s">
        <v>383</v>
      </c>
      <c r="C119" s="33" t="n">
        <v>1</v>
      </c>
      <c r="D119" s="3" t="s">
        <v>382</v>
      </c>
    </row>
    <row r="120" customFormat="false" ht="15" hidden="false" customHeight="false" outlineLevel="0" collapsed="false">
      <c r="B120" s="7" t="s">
        <v>384</v>
      </c>
      <c r="C120" s="33" t="n">
        <v>0.97</v>
      </c>
      <c r="D120" s="3" t="s">
        <v>385</v>
      </c>
    </row>
    <row r="121" customFormat="false" ht="15" hidden="false" customHeight="false" outlineLevel="0" collapsed="false">
      <c r="B121" s="7" t="s">
        <v>386</v>
      </c>
      <c r="C121" s="33" t="n">
        <v>0.95</v>
      </c>
      <c r="D121" s="3" t="s">
        <v>387</v>
      </c>
    </row>
    <row r="123" customFormat="false" ht="15" hidden="false" customHeight="false" outlineLevel="0" collapsed="false">
      <c r="A123" s="4" t="s">
        <v>388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customFormat="false" ht="15" hidden="false" customHeight="false" outlineLevel="0" collapsed="false">
      <c r="B124" s="7" t="s">
        <v>389</v>
      </c>
      <c r="C124" s="27" t="n">
        <v>300</v>
      </c>
    </row>
    <row r="125" customFormat="false" ht="15" hidden="false" customHeight="false" outlineLevel="0" collapsed="false">
      <c r="B125" s="7" t="s">
        <v>359</v>
      </c>
      <c r="C125" s="17" t="s">
        <v>390</v>
      </c>
    </row>
    <row r="126" customFormat="false" ht="15" hidden="false" customHeight="false" outlineLevel="0" collapsed="false">
      <c r="B126" s="7" t="s">
        <v>391</v>
      </c>
      <c r="C126" s="26" t="n">
        <v>1</v>
      </c>
    </row>
    <row r="127" customFormat="false" ht="15" hidden="false" customHeight="false" outlineLevel="0" collapsed="false">
      <c r="B127" s="7" t="s">
        <v>392</v>
      </c>
      <c r="C127" s="17" t="s">
        <v>377</v>
      </c>
    </row>
    <row r="128" customFormat="false" ht="15" hidden="false" customHeight="false" outlineLevel="0" collapsed="false">
      <c r="B128" s="7" t="s">
        <v>393</v>
      </c>
      <c r="C128" s="17" t="s">
        <v>394</v>
      </c>
    </row>
    <row r="129" customFormat="false" ht="15" hidden="false" customHeight="false" outlineLevel="0" collapsed="false">
      <c r="B129" s="7" t="s">
        <v>395</v>
      </c>
      <c r="C129" s="17" t="s">
        <v>396</v>
      </c>
    </row>
    <row r="131" customFormat="false" ht="43.5" hidden="false" customHeight="true" outlineLevel="0" collapsed="false">
      <c r="B131" s="6" t="s">
        <v>37</v>
      </c>
      <c r="C131" s="6" t="s">
        <v>302</v>
      </c>
      <c r="D131" s="6" t="s">
        <v>271</v>
      </c>
      <c r="E131" s="6" t="s">
        <v>397</v>
      </c>
      <c r="F131" s="6" t="s">
        <v>398</v>
      </c>
      <c r="G131" s="6" t="s">
        <v>399</v>
      </c>
      <c r="H131" s="6" t="s">
        <v>112</v>
      </c>
      <c r="I131" s="6" t="s">
        <v>400</v>
      </c>
      <c r="J131" s="6" t="s">
        <v>401</v>
      </c>
      <c r="K131" s="6" t="s">
        <v>402</v>
      </c>
      <c r="L131" s="6" t="s">
        <v>403</v>
      </c>
    </row>
    <row r="132" customFormat="false" ht="15" hidden="false" customHeight="false" outlineLevel="0" collapsed="false">
      <c r="B132" s="16" t="s">
        <v>38</v>
      </c>
      <c r="C132" s="7" t="s">
        <v>320</v>
      </c>
      <c r="D132" s="7" t="str">
        <f aca="false">C132&amp;"|"&amp;B132</f>
        <v>M|0-17</v>
      </c>
      <c r="E132" s="27" t="n">
        <v>95</v>
      </c>
      <c r="F132" s="27" t="n">
        <v>22</v>
      </c>
      <c r="G132" s="27" t="n">
        <v>4</v>
      </c>
      <c r="H132" s="29" t="n">
        <f aca="false">SUM(E132:G132)</f>
        <v>121</v>
      </c>
      <c r="I132" s="18" t="n">
        <f aca="false">INDEX($E$61:$E$70,MATCH($D132,$D$61:$D$70,0))</f>
        <v>223391.219383228</v>
      </c>
      <c r="J132" s="18" t="n">
        <f aca="false">INDEX($J$61:$J$70,MATCH($D132,$D$61:$D$70,0))</f>
        <v>269422.912113165</v>
      </c>
      <c r="K132" s="18" t="n">
        <f aca="false">INDEX($O$61:$O$70,MATCH($D132,$D$61:$D$70,0))</f>
        <v>510379.770496478</v>
      </c>
      <c r="L132" s="14" t="n">
        <f aca="false">E132*I132+F132*J132+G132*K132</f>
        <v>29190988.9898822</v>
      </c>
    </row>
    <row r="133" customFormat="false" ht="15" hidden="false" customHeight="false" outlineLevel="0" collapsed="false">
      <c r="B133" s="21" t="s">
        <v>38</v>
      </c>
      <c r="C133" s="9" t="s">
        <v>321</v>
      </c>
      <c r="D133" s="9" t="str">
        <f aca="false">C133&amp;"|"&amp;B133</f>
        <v>F|0-17</v>
      </c>
      <c r="E133" s="27" t="n">
        <v>92</v>
      </c>
      <c r="F133" s="27" t="n">
        <v>21</v>
      </c>
      <c r="G133" s="27" t="n">
        <v>4</v>
      </c>
      <c r="H133" s="29" t="n">
        <f aca="false">SUM(E133:G133)</f>
        <v>117</v>
      </c>
      <c r="I133" s="18" t="n">
        <f aca="false">INDEX($E$61:$E$70,MATCH($D133,$D$61:$D$70,0))</f>
        <v>216553.925910115</v>
      </c>
      <c r="J133" s="18" t="n">
        <f aca="false">INDEX($J$61:$J$70,MATCH($D133,$D$61:$D$70,0))</f>
        <v>261576.772775605</v>
      </c>
      <c r="K133" s="18" t="n">
        <f aca="false">INDEX($O$61:$O$70,MATCH($D133,$D$61:$D$70,0))</f>
        <v>501897.600391743</v>
      </c>
      <c r="L133" s="14" t="n">
        <f aca="false">E133*I133+F133*J133+G133*K133</f>
        <v>27423663.8135853</v>
      </c>
    </row>
    <row r="134" customFormat="false" ht="15" hidden="false" customHeight="false" outlineLevel="0" collapsed="false">
      <c r="B134" s="16" t="s">
        <v>39</v>
      </c>
      <c r="C134" s="7" t="s">
        <v>320</v>
      </c>
      <c r="D134" s="7" t="str">
        <f aca="false">C134&amp;"|"&amp;B134</f>
        <v>M|18-35</v>
      </c>
      <c r="E134" s="27" t="n">
        <v>140</v>
      </c>
      <c r="F134" s="27" t="n">
        <v>28</v>
      </c>
      <c r="G134" s="27" t="n">
        <v>3</v>
      </c>
      <c r="H134" s="29" t="n">
        <f aca="false">SUM(E134:G134)</f>
        <v>171</v>
      </c>
      <c r="I134" s="18" t="n">
        <f aca="false">INDEX($E$61:$E$70,MATCH($D134,$D$61:$D$70,0))</f>
        <v>248491.851847699</v>
      </c>
      <c r="J134" s="18" t="n">
        <f aca="false">INDEX($J$61:$J$70,MATCH($D134,$D$61:$D$70,0))</f>
        <v>302172.532926368</v>
      </c>
      <c r="K134" s="18" t="n">
        <f aca="false">INDEX($O$61:$O$70,MATCH($D134,$D$61:$D$70,0))</f>
        <v>648409.688138092</v>
      </c>
      <c r="L134" s="14" t="n">
        <f aca="false">E134*I134+F134*J134+G134*K134</f>
        <v>45194919.2450304</v>
      </c>
    </row>
    <row r="135" customFormat="false" ht="15" hidden="false" customHeight="false" outlineLevel="0" collapsed="false">
      <c r="B135" s="21" t="s">
        <v>39</v>
      </c>
      <c r="C135" s="9" t="s">
        <v>321</v>
      </c>
      <c r="D135" s="9" t="str">
        <f aca="false">C135&amp;"|"&amp;B135</f>
        <v>F|18-35</v>
      </c>
      <c r="E135" s="27" t="n">
        <v>110</v>
      </c>
      <c r="F135" s="27" t="n">
        <v>25</v>
      </c>
      <c r="G135" s="27" t="n">
        <v>3</v>
      </c>
      <c r="H135" s="29" t="n">
        <f aca="false">SUM(E135:G135)</f>
        <v>138</v>
      </c>
      <c r="I135" s="18" t="n">
        <f aca="false">INDEX($E$61:$E$70,MATCH($D135,$D$61:$D$70,0))</f>
        <v>375636.464695893</v>
      </c>
      <c r="J135" s="18" t="n">
        <f aca="false">INDEX($J$61:$J$70,MATCH($D135,$D$61:$D$70,0))</f>
        <v>467233.647426654</v>
      </c>
      <c r="K135" s="18" t="n">
        <f aca="false">INDEX($O$61:$O$70,MATCH($D135,$D$61:$D$70,0))</f>
        <v>917007.657564227</v>
      </c>
      <c r="L135" s="14" t="n">
        <f aca="false">E135*I135+F135*J135+G135*K135</f>
        <v>55751875.2749072</v>
      </c>
    </row>
    <row r="136" customFormat="false" ht="15" hidden="false" customHeight="false" outlineLevel="0" collapsed="false">
      <c r="B136" s="16" t="s">
        <v>40</v>
      </c>
      <c r="C136" s="7" t="s">
        <v>320</v>
      </c>
      <c r="D136" s="7" t="str">
        <f aca="false">C136&amp;"|"&amp;B136</f>
        <v>M|36-50</v>
      </c>
      <c r="E136" s="27" t="n">
        <v>75</v>
      </c>
      <c r="F136" s="27" t="n">
        <v>20</v>
      </c>
      <c r="G136" s="27" t="n">
        <v>5</v>
      </c>
      <c r="H136" s="29" t="n">
        <f aca="false">SUM(E136:G136)</f>
        <v>100</v>
      </c>
      <c r="I136" s="18" t="n">
        <f aca="false">INDEX($E$61:$E$70,MATCH($D136,$D$61:$D$70,0))</f>
        <v>333158.542909374</v>
      </c>
      <c r="J136" s="18" t="n">
        <f aca="false">INDEX($J$61:$J$70,MATCH($D136,$D$61:$D$70,0))</f>
        <v>406707.240522443</v>
      </c>
      <c r="K136" s="18" t="n">
        <f aca="false">INDEX($O$61:$O$70,MATCH($D136,$D$61:$D$70,0))</f>
        <v>907213.753718634</v>
      </c>
      <c r="L136" s="14" t="n">
        <f aca="false">E136*I136+F136*J136+G136*K136</f>
        <v>37657104.2972451</v>
      </c>
    </row>
    <row r="137" customFormat="false" ht="15" hidden="false" customHeight="false" outlineLevel="0" collapsed="false">
      <c r="B137" s="21" t="s">
        <v>40</v>
      </c>
      <c r="C137" s="9" t="s">
        <v>321</v>
      </c>
      <c r="D137" s="9" t="str">
        <f aca="false">C137&amp;"|"&amp;B137</f>
        <v>F|36-50</v>
      </c>
      <c r="E137" s="27" t="n">
        <v>55</v>
      </c>
      <c r="F137" s="27" t="n">
        <v>16</v>
      </c>
      <c r="G137" s="27" t="n">
        <v>4</v>
      </c>
      <c r="H137" s="29" t="n">
        <f aca="false">SUM(E137:G137)</f>
        <v>75</v>
      </c>
      <c r="I137" s="18" t="n">
        <f aca="false">INDEX($E$61:$E$70,MATCH($D137,$D$61:$D$70,0))</f>
        <v>398362.593898749</v>
      </c>
      <c r="J137" s="18" t="n">
        <f aca="false">INDEX($J$61:$J$70,MATCH($D137,$D$61:$D$70,0))</f>
        <v>488101.275315318</v>
      </c>
      <c r="K137" s="18" t="n">
        <f aca="false">INDEX($O$61:$O$70,MATCH($D137,$D$61:$D$70,0))</f>
        <v>1037990.10260345</v>
      </c>
      <c r="L137" s="14" t="n">
        <f aca="false">E137*I137+F137*J137+G137*K137</f>
        <v>33871523.4798901</v>
      </c>
    </row>
    <row r="138" customFormat="false" ht="15" hidden="false" customHeight="false" outlineLevel="0" collapsed="false">
      <c r="B138" s="16" t="s">
        <v>41</v>
      </c>
      <c r="C138" s="7" t="s">
        <v>320</v>
      </c>
      <c r="D138" s="7" t="str">
        <f aca="false">C138&amp;"|"&amp;B138</f>
        <v>M|51-65</v>
      </c>
      <c r="E138" s="27" t="n">
        <v>25</v>
      </c>
      <c r="F138" s="27" t="n">
        <v>8</v>
      </c>
      <c r="G138" s="27" t="n">
        <v>4</v>
      </c>
      <c r="H138" s="29" t="n">
        <f aca="false">SUM(E138:G138)</f>
        <v>37</v>
      </c>
      <c r="I138" s="18" t="n">
        <f aca="false">INDEX($E$61:$E$70,MATCH($D138,$D$61:$D$70,0))</f>
        <v>488266.252263903</v>
      </c>
      <c r="J138" s="18" t="n">
        <f aca="false">INDEX($J$61:$J$70,MATCH($D138,$D$61:$D$70,0))</f>
        <v>598835.791813219</v>
      </c>
      <c r="K138" s="18" t="n">
        <f aca="false">INDEX($O$61:$O$70,MATCH($D138,$D$61:$D$70,0))</f>
        <v>1329119.86493686</v>
      </c>
      <c r="L138" s="14" t="n">
        <f aca="false">E138*I138+F138*J138+G138*K138</f>
        <v>22313822.1008507</v>
      </c>
    </row>
    <row r="139" customFormat="false" ht="15" hidden="false" customHeight="false" outlineLevel="0" collapsed="false">
      <c r="B139" s="21" t="s">
        <v>41</v>
      </c>
      <c r="C139" s="9" t="s">
        <v>321</v>
      </c>
      <c r="D139" s="9" t="str">
        <f aca="false">C139&amp;"|"&amp;B139</f>
        <v>F|51-65</v>
      </c>
      <c r="E139" s="27" t="n">
        <v>18</v>
      </c>
      <c r="F139" s="27" t="n">
        <v>6</v>
      </c>
      <c r="G139" s="27" t="n">
        <v>2</v>
      </c>
      <c r="H139" s="29" t="n">
        <f aca="false">SUM(E139:G139)</f>
        <v>26</v>
      </c>
      <c r="I139" s="18" t="n">
        <f aca="false">INDEX($E$61:$E$70,MATCH($D139,$D$61:$D$70,0))</f>
        <v>488785.109606846</v>
      </c>
      <c r="J139" s="18" t="n">
        <f aca="false">INDEX($J$61:$J$70,MATCH($D139,$D$61:$D$70,0))</f>
        <v>596803.504823165</v>
      </c>
      <c r="K139" s="18" t="n">
        <f aca="false">INDEX($O$61:$O$70,MATCH($D139,$D$61:$D$70,0))</f>
        <v>1325737.58467821</v>
      </c>
      <c r="L139" s="14" t="n">
        <f aca="false">E139*I139+F139*J139+G139*K139</f>
        <v>15030428.1712186</v>
      </c>
    </row>
    <row r="140" customFormat="false" ht="15" hidden="false" customHeight="false" outlineLevel="0" collapsed="false">
      <c r="B140" s="16" t="s">
        <v>42</v>
      </c>
      <c r="C140" s="7" t="s">
        <v>320</v>
      </c>
      <c r="D140" s="7" t="str">
        <f aca="false">C140&amp;"|"&amp;B140</f>
        <v>M|&gt;65</v>
      </c>
      <c r="E140" s="27" t="n">
        <v>6</v>
      </c>
      <c r="F140" s="27" t="n">
        <v>2</v>
      </c>
      <c r="G140" s="27" t="n">
        <v>1</v>
      </c>
      <c r="H140" s="29" t="n">
        <f aca="false">SUM(E140:G140)</f>
        <v>9</v>
      </c>
      <c r="I140" s="18" t="n">
        <f aca="false">INDEX($E$61:$E$70,MATCH($D140,$D$61:$D$70,0))</f>
        <v>669700.773850106</v>
      </c>
      <c r="J140" s="18" t="n">
        <f aca="false">INDEX($J$61:$J$70,MATCH($D140,$D$61:$D$70,0))</f>
        <v>825987.899847621</v>
      </c>
      <c r="K140" s="18" t="n">
        <f aca="false">INDEX($O$61:$O$70,MATCH($D140,$D$61:$D$70,0))</f>
        <v>1750348.34738247</v>
      </c>
      <c r="L140" s="14" t="n">
        <f aca="false">E140*I140+F140*J140+G140*K140</f>
        <v>7420528.79017835</v>
      </c>
    </row>
    <row r="141" customFormat="false" ht="15" hidden="false" customHeight="false" outlineLevel="0" collapsed="false">
      <c r="B141" s="21" t="s">
        <v>42</v>
      </c>
      <c r="C141" s="9" t="s">
        <v>321</v>
      </c>
      <c r="D141" s="9" t="str">
        <f aca="false">C141&amp;"|"&amp;B141</f>
        <v>F|&gt;65</v>
      </c>
      <c r="E141" s="27" t="n">
        <v>4</v>
      </c>
      <c r="F141" s="27" t="n">
        <v>2</v>
      </c>
      <c r="G141" s="27" t="n">
        <v>0</v>
      </c>
      <c r="H141" s="29" t="n">
        <f aca="false">SUM(E141:G141)</f>
        <v>6</v>
      </c>
      <c r="I141" s="18" t="n">
        <f aca="false">INDEX($E$61:$E$70,MATCH($D141,$D$61:$D$70,0))</f>
        <v>645320.069820597</v>
      </c>
      <c r="J141" s="18" t="n">
        <f aca="false">INDEX($J$61:$J$70,MATCH($D141,$D$61:$D$70,0))</f>
        <v>793019.495690674</v>
      </c>
      <c r="K141" s="18" t="n">
        <f aca="false">INDEX($O$61:$O$70,MATCH($D141,$D$61:$D$70,0))</f>
        <v>1697319.61942237</v>
      </c>
      <c r="L141" s="14" t="n">
        <f aca="false">E141*I141+F141*J141+G141*K141</f>
        <v>4167319.27066373</v>
      </c>
    </row>
    <row r="142" customFormat="false" ht="15" hidden="false" customHeight="false" outlineLevel="0" collapsed="false">
      <c r="B142" s="16" t="s">
        <v>115</v>
      </c>
      <c r="E142" s="31" t="n">
        <f aca="false">SUM(E132:E141)</f>
        <v>620</v>
      </c>
      <c r="F142" s="31" t="n">
        <f aca="false">SUM(F132:F141)</f>
        <v>150</v>
      </c>
      <c r="G142" s="31" t="n">
        <f aca="false">SUM(G132:G141)</f>
        <v>30</v>
      </c>
      <c r="H142" s="31" t="n">
        <f aca="false">SUM(H132:H141)</f>
        <v>800</v>
      </c>
      <c r="L142" s="14" t="n">
        <f aca="false">SUM(L132:L141)</f>
        <v>278022173.433452</v>
      </c>
    </row>
    <row r="144" customFormat="false" ht="15" hidden="false" customHeight="false" outlineLevel="0" collapsed="false">
      <c r="B144" s="7" t="s">
        <v>404</v>
      </c>
      <c r="C144" s="29" t="n">
        <f aca="false">H142</f>
        <v>800</v>
      </c>
    </row>
    <row r="145" customFormat="false" ht="15" hidden="false" customHeight="false" outlineLevel="0" collapsed="false">
      <c r="B145" s="7" t="s">
        <v>405</v>
      </c>
      <c r="C145" s="18" t="n">
        <f aca="false">L142</f>
        <v>278022173.433452</v>
      </c>
    </row>
    <row r="146" customFormat="false" ht="15" hidden="false" customHeight="false" outlineLevel="0" collapsed="false">
      <c r="B146" s="7" t="s">
        <v>406</v>
      </c>
      <c r="C146" s="20" t="n">
        <f aca="false">INDEX(Size_F,MATCH(g_n,Size_Min,1))</f>
        <v>-0.08</v>
      </c>
    </row>
    <row r="147" customFormat="false" ht="15" hidden="false" customHeight="false" outlineLevel="0" collapsed="false">
      <c r="B147" s="7" t="s">
        <v>407</v>
      </c>
      <c r="C147" s="20" t="n">
        <f aca="false">IF(g_reg="Obrigatória",adh_obrig,INDEX(Part_F,MATCH(g_part,Part_Min,1)))</f>
        <v>-0.0215000000000001</v>
      </c>
    </row>
    <row r="148" customFormat="false" ht="15" hidden="false" customHeight="false" outlineLevel="0" collapsed="false">
      <c r="B148" s="7" t="s">
        <v>408</v>
      </c>
      <c r="C148" s="40" t="n">
        <f aca="false">INDEX(Sector_F,MATCH(g_sec,Sector_Nome,0))</f>
        <v>1.08</v>
      </c>
    </row>
    <row r="149" customFormat="false" ht="15" hidden="false" customHeight="false" outlineLevel="0" collapsed="false">
      <c r="B149" s="7" t="s">
        <v>409</v>
      </c>
      <c r="C149" s="40" t="n">
        <f aca="false">INDEX(Reg_F,MATCH(g_regiao,Reg_Nome,0))</f>
        <v>1</v>
      </c>
    </row>
    <row r="150" customFormat="false" ht="15" hidden="false" customHeight="false" outlineLevel="0" collapsed="false">
      <c r="B150" s="16" t="s">
        <v>410</v>
      </c>
      <c r="C150" s="14" t="n">
        <f aca="false">C145*(1+C146)*(1+C147)*C148*C149</f>
        <v>270303610.645723</v>
      </c>
    </row>
    <row r="151" customFormat="false" ht="15" hidden="false" customHeight="false" outlineLevel="0" collapsed="false">
      <c r="B151" s="7" t="s">
        <v>411</v>
      </c>
      <c r="C151" s="20" t="n">
        <f aca="false">INDEX(Size_Sig,MATCH(g_n,Size_Min,1))</f>
        <v>0.03</v>
      </c>
    </row>
    <row r="152" customFormat="false" ht="15" hidden="false" customHeight="false" outlineLevel="0" collapsed="false">
      <c r="B152" s="7" t="s">
        <v>412</v>
      </c>
      <c r="C152" s="18" t="n">
        <f aca="false">C150*C151</f>
        <v>8109108.31937168</v>
      </c>
    </row>
    <row r="153" customFormat="false" ht="15" hidden="false" customHeight="false" outlineLevel="0" collapsed="false">
      <c r="B153" s="16" t="s">
        <v>413</v>
      </c>
      <c r="C153" s="14" t="n">
        <f aca="false">C150+C152</f>
        <v>278412718.965095</v>
      </c>
    </row>
    <row r="154" customFormat="false" ht="15" hidden="false" customHeight="false" outlineLevel="0" collapsed="false">
      <c r="B154" s="16" t="s">
        <v>414</v>
      </c>
      <c r="C154" s="14" t="n">
        <f aca="false">C153/(1-load_SAG)</f>
        <v>352421163.246955</v>
      </c>
    </row>
    <row r="155" customFormat="false" ht="15" hidden="false" customHeight="false" outlineLevel="0" collapsed="false">
      <c r="B155" s="7" t="s">
        <v>415</v>
      </c>
      <c r="C155" s="18" t="n">
        <f aca="false">C154*ea_SAG</f>
        <v>35242116.3246955</v>
      </c>
    </row>
    <row r="156" customFormat="false" ht="15" hidden="false" customHeight="false" outlineLevel="0" collapsed="false">
      <c r="B156" s="7" t="s">
        <v>416</v>
      </c>
      <c r="C156" s="18" t="n">
        <f aca="false">C154*ec_SAG</f>
        <v>24669481.4272869</v>
      </c>
    </row>
    <row r="157" customFormat="false" ht="15" hidden="false" customHeight="false" outlineLevel="0" collapsed="false">
      <c r="B157" s="7" t="s">
        <v>417</v>
      </c>
      <c r="C157" s="18" t="n">
        <f aca="false">C154*m_SAG</f>
        <v>14096846.5298782</v>
      </c>
    </row>
    <row r="158" customFormat="false" ht="15" hidden="false" customHeight="false" outlineLevel="0" collapsed="false">
      <c r="B158" s="7" t="s">
        <v>418</v>
      </c>
      <c r="C158" s="20" t="n">
        <f aca="false">INDEX(Cross_Desc,MATCH(g_cross,Cross_Nome,0))</f>
        <v>-0.05</v>
      </c>
    </row>
    <row r="159" customFormat="false" ht="15" hidden="false" customHeight="false" outlineLevel="0" collapsed="false">
      <c r="B159" s="7" t="s">
        <v>419</v>
      </c>
      <c r="C159" s="18" t="n">
        <f aca="false">C154*(1+C158)</f>
        <v>334800105.084607</v>
      </c>
    </row>
    <row r="160" customFormat="false" ht="15" hidden="false" customHeight="false" outlineLevel="0" collapsed="false">
      <c r="B160" s="7" t="s">
        <v>420</v>
      </c>
      <c r="C160" s="18" t="n">
        <f aca="false">C159*tax_SAG</f>
        <v>3348001.05084607</v>
      </c>
    </row>
    <row r="161" customFormat="false" ht="15" hidden="false" customHeight="false" outlineLevel="0" collapsed="false">
      <c r="B161" s="16" t="s">
        <v>421</v>
      </c>
      <c r="C161" s="19" t="n">
        <f aca="false">C159+C160</f>
        <v>338148106.135453</v>
      </c>
    </row>
    <row r="162" customFormat="false" ht="15" hidden="false" customHeight="false" outlineLevel="0" collapsed="false">
      <c r="B162" s="7" t="s">
        <v>422</v>
      </c>
      <c r="C162" s="18" t="n">
        <f aca="false">C161/C144</f>
        <v>422685.132669317</v>
      </c>
    </row>
    <row r="163" customFormat="false" ht="15" hidden="false" customHeight="false" outlineLevel="0" collapsed="false">
      <c r="B163" s="7" t="s">
        <v>423</v>
      </c>
      <c r="C163" s="18" t="n">
        <f aca="false">C161/g_n</f>
        <v>1127160.35378484</v>
      </c>
    </row>
    <row r="164" customFormat="false" ht="15" hidden="false" customHeight="false" outlineLevel="0" collapsed="false">
      <c r="B164" s="7" t="s">
        <v>424</v>
      </c>
      <c r="C164" s="18" t="n">
        <f aca="false">C154/C144</f>
        <v>440526.454058694</v>
      </c>
    </row>
    <row r="166" customFormat="false" ht="15" hidden="false" customHeight="false" outlineLevel="0" collapsed="false">
      <c r="A166" s="4" t="s">
        <v>425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customFormat="false" ht="15" hidden="false" customHeight="false" outlineLevel="0" collapsed="false">
      <c r="B167" s="7" t="s">
        <v>426</v>
      </c>
      <c r="C167" s="26" t="n">
        <v>0.3</v>
      </c>
      <c r="D167" s="3" t="s">
        <v>427</v>
      </c>
    </row>
    <row r="168" customFormat="false" ht="15" hidden="false" customHeight="false" outlineLevel="0" collapsed="false">
      <c r="B168" s="7" t="s">
        <v>428</v>
      </c>
      <c r="C168" s="26" t="n">
        <v>0.22</v>
      </c>
    </row>
    <row r="169" customFormat="false" ht="15" hidden="false" customHeight="false" outlineLevel="0" collapsed="false">
      <c r="B169" s="7" t="s">
        <v>429</v>
      </c>
      <c r="C169" s="20" t="n">
        <f aca="false">med_trend</f>
        <v>0.182194</v>
      </c>
    </row>
    <row r="171" customFormat="false" ht="43.5" hidden="false" customHeight="true" outlineLevel="0" collapsed="false">
      <c r="B171" s="6" t="s">
        <v>430</v>
      </c>
      <c r="C171" s="6" t="s">
        <v>431</v>
      </c>
      <c r="D171" s="6" t="s">
        <v>432</v>
      </c>
      <c r="E171" s="6" t="s">
        <v>433</v>
      </c>
      <c r="F171" s="6" t="s">
        <v>434</v>
      </c>
      <c r="G171" s="6" t="s">
        <v>435</v>
      </c>
      <c r="H171" s="6" t="s">
        <v>436</v>
      </c>
      <c r="I171" s="6" t="s">
        <v>437</v>
      </c>
      <c r="J171" s="6" t="s">
        <v>438</v>
      </c>
      <c r="K171" s="6" t="s">
        <v>439</v>
      </c>
    </row>
    <row r="172" customFormat="false" ht="15" hidden="false" customHeight="false" outlineLevel="0" collapsed="false">
      <c r="B172" s="16" t="s">
        <v>440</v>
      </c>
      <c r="C172" s="27" t="n">
        <v>760</v>
      </c>
      <c r="D172" s="35" t="n">
        <v>260000000</v>
      </c>
      <c r="E172" s="35" t="n">
        <v>205000000</v>
      </c>
      <c r="F172" s="27" t="n">
        <v>2350</v>
      </c>
      <c r="G172" s="20" t="n">
        <f aca="false">E172/D172</f>
        <v>0.788461538461538</v>
      </c>
      <c r="H172" s="18" t="n">
        <f aca="false">E172/C172</f>
        <v>269736.842105263</v>
      </c>
      <c r="I172" s="40" t="n">
        <f aca="false">(1+C167)*(1+C168)*(1+C169)*f_trend</f>
        <v>2.2165660886667</v>
      </c>
      <c r="J172" s="18" t="n">
        <f aca="false">H172*I172</f>
        <v>597889.537074569</v>
      </c>
      <c r="K172" s="26" t="n">
        <v>0.2</v>
      </c>
    </row>
    <row r="173" customFormat="false" ht="15" hidden="false" customHeight="false" outlineLevel="0" collapsed="false">
      <c r="B173" s="16" t="s">
        <v>441</v>
      </c>
      <c r="C173" s="27" t="n">
        <v>790</v>
      </c>
      <c r="D173" s="35" t="n">
        <v>310000000</v>
      </c>
      <c r="E173" s="35" t="n">
        <v>262000000</v>
      </c>
      <c r="F173" s="27" t="n">
        <v>2480</v>
      </c>
      <c r="G173" s="20" t="n">
        <f aca="false">E173/D173</f>
        <v>0.845161290322581</v>
      </c>
      <c r="H173" s="18" t="n">
        <f aca="false">E173/C173</f>
        <v>331645.569620253</v>
      </c>
      <c r="I173" s="40" t="n">
        <f aca="false">(1+C168)*(1+C169)*f_trend</f>
        <v>1.70505083743592</v>
      </c>
      <c r="J173" s="18" t="n">
        <f aca="false">H173*I173</f>
        <v>565472.556212925</v>
      </c>
      <c r="K173" s="26" t="n">
        <v>0.3</v>
      </c>
    </row>
    <row r="174" customFormat="false" ht="15" hidden="false" customHeight="false" outlineLevel="0" collapsed="false">
      <c r="B174" s="16" t="s">
        <v>442</v>
      </c>
      <c r="C174" s="27" t="n">
        <v>800</v>
      </c>
      <c r="D174" s="35" t="n">
        <v>370000000</v>
      </c>
      <c r="E174" s="35" t="n">
        <v>318000000</v>
      </c>
      <c r="F174" s="27" t="n">
        <v>2560</v>
      </c>
      <c r="G174" s="20" t="n">
        <f aca="false">E174/D174</f>
        <v>0.85945945945946</v>
      </c>
      <c r="H174" s="18" t="n">
        <f aca="false">E174/C174</f>
        <v>397500</v>
      </c>
      <c r="I174" s="40" t="n">
        <f aca="false">(1+C169)*f_trend</f>
        <v>1.397582653636</v>
      </c>
      <c r="J174" s="18" t="n">
        <f aca="false">H174*I174</f>
        <v>555539.10482031</v>
      </c>
      <c r="K174" s="26" t="n">
        <v>0.5</v>
      </c>
    </row>
    <row r="175" customFormat="false" ht="15" hidden="false" customHeight="false" outlineLevel="0" collapsed="false">
      <c r="B175" s="16" t="s">
        <v>443</v>
      </c>
      <c r="C175" s="31" t="n">
        <f aca="false">SUM(C172:C174)</f>
        <v>2350</v>
      </c>
      <c r="D175" s="14" t="n">
        <f aca="false">SUM(D172:D174)</f>
        <v>940000000</v>
      </c>
      <c r="E175" s="14" t="n">
        <f aca="false">SUM(E172:E174)</f>
        <v>785000000</v>
      </c>
      <c r="F175" s="31" t="n">
        <f aca="false">SUM(F172:F174)</f>
        <v>7390</v>
      </c>
      <c r="G175" s="8" t="n">
        <f aca="false">E175/D175</f>
        <v>0.835106382978723</v>
      </c>
      <c r="K175" s="8" t="n">
        <f aca="false">SUM(K172:K174)</f>
        <v>1</v>
      </c>
    </row>
    <row r="177" customFormat="false" ht="15" hidden="false" customHeight="false" outlineLevel="0" collapsed="false">
      <c r="B177" s="7" t="s">
        <v>444</v>
      </c>
      <c r="C177" s="53" t="n">
        <v>1</v>
      </c>
    </row>
    <row r="178" customFormat="false" ht="15" hidden="false" customHeight="false" outlineLevel="0" collapsed="false">
      <c r="B178" s="16" t="s">
        <v>445</v>
      </c>
      <c r="C178" s="14" t="n">
        <f aca="false">SUMPRODUCT(J172:J174,K172:K174)*C177</f>
        <v>566989.226688946</v>
      </c>
    </row>
    <row r="179" customFormat="false" ht="15" hidden="false" customHeight="false" outlineLevel="0" collapsed="false">
      <c r="B179" s="7" t="s">
        <v>446</v>
      </c>
      <c r="C179" s="54" t="n">
        <v>0.9</v>
      </c>
    </row>
    <row r="180" customFormat="false" ht="15" hidden="false" customHeight="false" outlineLevel="0" collapsed="false">
      <c r="B180" s="7" t="s">
        <v>447</v>
      </c>
      <c r="C180" s="54" t="n">
        <v>0.05</v>
      </c>
    </row>
    <row r="181" customFormat="false" ht="15" hidden="false" customHeight="false" outlineLevel="0" collapsed="false">
      <c r="B181" s="7" t="s">
        <v>448</v>
      </c>
      <c r="C181" s="55" t="n">
        <v>4</v>
      </c>
    </row>
    <row r="182" customFormat="false" ht="15" hidden="false" customHeight="false" outlineLevel="0" collapsed="false">
      <c r="B182" s="7" t="s">
        <v>449</v>
      </c>
      <c r="C182" s="40" t="n">
        <f aca="false">NORMSINV((1+C179)/2)</f>
        <v>1.64485362695147</v>
      </c>
    </row>
    <row r="183" customFormat="false" ht="15" hidden="false" customHeight="false" outlineLevel="0" collapsed="false">
      <c r="B183" s="7" t="s">
        <v>450</v>
      </c>
      <c r="C183" s="29" t="n">
        <f aca="false">(C182/C180)^2*(1+C181^2)</f>
        <v>18397.6954878488</v>
      </c>
    </row>
    <row r="184" customFormat="false" ht="15" hidden="false" customHeight="false" outlineLevel="0" collapsed="false">
      <c r="B184" s="7" t="s">
        <v>451</v>
      </c>
      <c r="C184" s="29" t="n">
        <f aca="false">F175</f>
        <v>7390</v>
      </c>
    </row>
    <row r="185" customFormat="false" ht="15" hidden="false" customHeight="false" outlineLevel="0" collapsed="false">
      <c r="B185" s="16" t="s">
        <v>452</v>
      </c>
      <c r="C185" s="56" t="n">
        <f aca="false">MIN(1,SQRT(C184/C183))</f>
        <v>0.633782883468729</v>
      </c>
    </row>
    <row r="186" customFormat="false" ht="15" hidden="false" customHeight="false" outlineLevel="0" collapsed="false">
      <c r="B186" s="7" t="s">
        <v>453</v>
      </c>
      <c r="C186" s="18" t="n">
        <f aca="false">C178*(1+C151)/(1-load_SAG)</f>
        <v>739239.118341284</v>
      </c>
    </row>
    <row r="187" customFormat="false" ht="15" hidden="false" customHeight="false" outlineLevel="0" collapsed="false">
      <c r="B187" s="7" t="s">
        <v>454</v>
      </c>
      <c r="C187" s="18" t="n">
        <f aca="false">C164</f>
        <v>440526.454058694</v>
      </c>
    </row>
    <row r="188" customFormat="false" ht="15" hidden="false" customHeight="false" outlineLevel="0" collapsed="false">
      <c r="B188" s="16" t="s">
        <v>455</v>
      </c>
      <c r="C188" s="19" t="n">
        <f aca="false">C185*C186+(1-C185)*C187</f>
        <v>629845.42775634</v>
      </c>
    </row>
    <row r="189" customFormat="false" ht="15" hidden="false" customHeight="false" outlineLevel="0" collapsed="false">
      <c r="B189" s="7" t="s">
        <v>456</v>
      </c>
      <c r="C189" s="18" t="n">
        <f aca="false">C188*C144</f>
        <v>503876342.205072</v>
      </c>
    </row>
    <row r="190" customFormat="false" ht="15" hidden="false" customHeight="false" outlineLevel="0" collapsed="false">
      <c r="B190" s="7" t="s">
        <v>418</v>
      </c>
      <c r="C190" s="18" t="n">
        <f aca="false">C189*C158</f>
        <v>-25193817.1102536</v>
      </c>
    </row>
    <row r="191" customFormat="false" ht="15" hidden="false" customHeight="false" outlineLevel="0" collapsed="false">
      <c r="B191" s="7" t="s">
        <v>457</v>
      </c>
      <c r="C191" s="18" t="n">
        <f aca="false">(C189+C190)*tax_SAG</f>
        <v>4786825.25094819</v>
      </c>
    </row>
    <row r="192" customFormat="false" ht="15" hidden="false" customHeight="false" outlineLevel="0" collapsed="false">
      <c r="B192" s="16" t="s">
        <v>458</v>
      </c>
      <c r="C192" s="19" t="n">
        <f aca="false">C189+C190+C191</f>
        <v>483469350.345767</v>
      </c>
    </row>
    <row r="193" customFormat="false" ht="15" hidden="false" customHeight="false" outlineLevel="0" collapsed="false">
      <c r="B193" s="7" t="s">
        <v>459</v>
      </c>
      <c r="C193" s="18" t="n">
        <f aca="false">D174/C174</f>
        <v>462500</v>
      </c>
    </row>
    <row r="194" customFormat="false" ht="15" hidden="false" customHeight="false" outlineLevel="0" collapsed="false">
      <c r="B194" s="16" t="s">
        <v>460</v>
      </c>
      <c r="C194" s="8" t="n">
        <f aca="false">C188/C193-1</f>
        <v>0.3618279519056</v>
      </c>
    </row>
    <row r="195" customFormat="false" ht="15" hidden="false" customHeight="false" outlineLevel="0" collapsed="false">
      <c r="B195" s="7" t="s">
        <v>461</v>
      </c>
      <c r="C195" s="18" t="n">
        <f aca="false">(C185*C178+(1-C185)*C150/C144)*C144</f>
        <v>386468262.467968</v>
      </c>
    </row>
    <row r="196" customFormat="false" ht="15" hidden="false" customHeight="false" outlineLevel="0" collapsed="false">
      <c r="B196" s="7" t="s">
        <v>462</v>
      </c>
      <c r="C196" s="20" t="n">
        <f aca="false">C195/(C189+C190)</f>
        <v>0.807358201328564</v>
      </c>
    </row>
    <row r="198" customFormat="false" ht="15" hidden="false" customHeight="false" outlineLevel="0" collapsed="false">
      <c r="A198" s="4" t="s">
        <v>463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customFormat="false" ht="15" hidden="false" customHeight="false" outlineLevel="0" collapsed="false">
      <c r="B199" s="16" t="s">
        <v>464</v>
      </c>
      <c r="C199" s="14" t="n">
        <f aca="false">C195</f>
        <v>386468262.467968</v>
      </c>
    </row>
    <row r="200" customFormat="false" ht="15" hidden="false" customHeight="false" outlineLevel="0" collapsed="false">
      <c r="B200" s="7" t="s">
        <v>465</v>
      </c>
      <c r="C200" s="54" t="n">
        <v>0.1</v>
      </c>
      <c r="D200" s="3" t="s">
        <v>466</v>
      </c>
    </row>
    <row r="201" customFormat="false" ht="15" hidden="false" customHeight="false" outlineLevel="0" collapsed="false">
      <c r="B201" s="7" t="s">
        <v>467</v>
      </c>
      <c r="C201" s="18" t="n">
        <f aca="false">C199*C200</f>
        <v>38646826.2467968</v>
      </c>
    </row>
    <row r="202" customFormat="false" ht="15" hidden="false" customHeight="false" outlineLevel="0" collapsed="false">
      <c r="B202" s="7" t="s">
        <v>468</v>
      </c>
      <c r="C202" s="57" t="n">
        <v>20000000</v>
      </c>
    </row>
    <row r="203" customFormat="false" ht="15" hidden="false" customHeight="false" outlineLevel="0" collapsed="false">
      <c r="B203" s="7" t="s">
        <v>469</v>
      </c>
      <c r="C203" s="55" t="n">
        <v>0.6</v>
      </c>
      <c r="D203" s="3" t="s">
        <v>470</v>
      </c>
    </row>
    <row r="204" customFormat="false" ht="15" hidden="false" customHeight="false" outlineLevel="0" collapsed="false">
      <c r="B204" s="7" t="s">
        <v>471</v>
      </c>
      <c r="C204" s="57" t="n">
        <v>12000000</v>
      </c>
    </row>
    <row r="205" customFormat="false" ht="15" hidden="false" customHeight="false" outlineLevel="0" collapsed="false">
      <c r="B205" s="7" t="s">
        <v>472</v>
      </c>
      <c r="C205" s="18" t="n">
        <f aca="false">C144*C203/1000*C204</f>
        <v>5760000</v>
      </c>
    </row>
    <row r="206" customFormat="false" ht="15" hidden="false" customHeight="false" outlineLevel="0" collapsed="false">
      <c r="B206" s="7" t="s">
        <v>473</v>
      </c>
      <c r="C206" s="54" t="n">
        <v>0.25</v>
      </c>
    </row>
    <row r="207" customFormat="false" ht="15" hidden="false" customHeight="false" outlineLevel="0" collapsed="false">
      <c r="B207" s="7" t="s">
        <v>474</v>
      </c>
      <c r="C207" s="54" t="n">
        <v>0.15</v>
      </c>
    </row>
    <row r="208" customFormat="false" ht="15" hidden="false" customHeight="false" outlineLevel="0" collapsed="false">
      <c r="B208" s="16" t="s">
        <v>475</v>
      </c>
      <c r="C208" s="14" t="n">
        <f aca="false">C205*(1+C206)/(1-C207)</f>
        <v>8470588.23529412</v>
      </c>
    </row>
    <row r="209" customFormat="false" ht="15" hidden="false" customHeight="false" outlineLevel="0" collapsed="false">
      <c r="B209" s="7" t="s">
        <v>476</v>
      </c>
      <c r="C209" s="18" t="n">
        <f aca="false">C199-C205</f>
        <v>380708262.467968</v>
      </c>
    </row>
    <row r="210" customFormat="false" ht="15" hidden="false" customHeight="false" outlineLevel="0" collapsed="false">
      <c r="B210" s="7" t="s">
        <v>477</v>
      </c>
      <c r="C210" s="54" t="n">
        <v>1.2</v>
      </c>
    </row>
    <row r="211" customFormat="false" ht="15" hidden="false" customHeight="false" outlineLevel="0" collapsed="false">
      <c r="B211" s="7" t="s">
        <v>478</v>
      </c>
      <c r="C211" s="18" t="n">
        <f aca="false">C209*C210</f>
        <v>456849914.961562</v>
      </c>
    </row>
    <row r="212" customFormat="false" ht="15" hidden="false" customHeight="false" outlineLevel="0" collapsed="false">
      <c r="B212" s="7" t="s">
        <v>479</v>
      </c>
      <c r="C212" s="55" t="n">
        <v>2.5</v>
      </c>
    </row>
    <row r="213" customFormat="false" ht="15" hidden="false" customHeight="false" outlineLevel="0" collapsed="false">
      <c r="B213" s="7" t="s">
        <v>480</v>
      </c>
      <c r="C213" s="18" t="n">
        <f aca="false">C212*(C209/C144)*SQRT(C144)</f>
        <v>33650174.255606</v>
      </c>
    </row>
    <row r="214" customFormat="false" ht="15" hidden="false" customHeight="false" outlineLevel="0" collapsed="false">
      <c r="B214" s="7" t="s">
        <v>481</v>
      </c>
      <c r="C214" s="40" t="n">
        <f aca="false">(C211-C209)/C213</f>
        <v>2.26274169979695</v>
      </c>
    </row>
    <row r="215" customFormat="false" ht="15" hidden="false" customHeight="false" outlineLevel="0" collapsed="false">
      <c r="B215" s="7" t="s">
        <v>482</v>
      </c>
      <c r="C215" s="18" t="n">
        <f aca="false">C213*NORMDIST(C214,0,1,FALSE())+(C209-C211)*(1-NORMSDIST(C214))</f>
        <v>137339.141522032</v>
      </c>
    </row>
    <row r="216" customFormat="false" ht="15" hidden="false" customHeight="false" outlineLevel="0" collapsed="false">
      <c r="B216" s="16" t="s">
        <v>483</v>
      </c>
      <c r="C216" s="14" t="n">
        <f aca="false">C215*(1+C206)/(1-C207)</f>
        <v>201969.325767694</v>
      </c>
    </row>
    <row r="217" customFormat="false" ht="15" hidden="false" customHeight="false" outlineLevel="0" collapsed="false">
      <c r="B217" s="7" t="s">
        <v>484</v>
      </c>
      <c r="C217" s="18" t="n">
        <f aca="false">(C208+C216)*tax_SAG</f>
        <v>86725.5756106181</v>
      </c>
    </row>
    <row r="218" customFormat="false" ht="15" hidden="false" customHeight="false" outlineLevel="0" collapsed="false">
      <c r="B218" s="16" t="s">
        <v>485</v>
      </c>
      <c r="C218" s="19" t="n">
        <f aca="false">C199+C201+C208+C216+C217</f>
        <v>433874371.851437</v>
      </c>
    </row>
    <row r="219" customFormat="false" ht="15" hidden="false" customHeight="false" outlineLevel="0" collapsed="false">
      <c r="B219" s="7" t="s">
        <v>486</v>
      </c>
      <c r="C219" s="18" t="n">
        <f aca="false">C211+C201+C208+C216+C217</f>
        <v>504256024.345031</v>
      </c>
    </row>
    <row r="220" customFormat="false" ht="15" hidden="false" customHeight="false" outlineLevel="0" collapsed="false">
      <c r="B220" s="7" t="s">
        <v>487</v>
      </c>
      <c r="C220" s="18" t="n">
        <f aca="false">C192</f>
        <v>483469350.345767</v>
      </c>
    </row>
    <row r="221" customFormat="false" ht="15" hidden="false" customHeight="false" outlineLevel="0" collapsed="false">
      <c r="B221" s="16" t="s">
        <v>488</v>
      </c>
      <c r="C221" s="14" t="n">
        <f aca="false">C220-C218</f>
        <v>49594978.4943295</v>
      </c>
    </row>
    <row r="222" customFormat="false" ht="15" hidden="false" customHeight="false" outlineLevel="0" collapsed="false">
      <c r="B222" s="16" t="s">
        <v>489</v>
      </c>
      <c r="C222" s="8" t="n">
        <f aca="false">C221/C220</f>
        <v>0.102581432429709</v>
      </c>
    </row>
  </sheetData>
  <autoFilter ref="A5:AB56"/>
  <mergeCells count="5">
    <mergeCell ref="A1:AB1"/>
    <mergeCell ref="A2:AB2"/>
    <mergeCell ref="D75:H75"/>
    <mergeCell ref="I75:M75"/>
    <mergeCell ref="N75:R75"/>
  </mergeCells>
  <dataValidations count="5">
    <dataValidation allowBlank="true" error="Valor inválido" errorStyle="stop" operator="between" showDropDown="false" showErrorMessage="true" showInputMessage="false" sqref="F6:F56" type="list">
      <formula1>Listas!$F$2:$F$4</formula1>
      <formula2>0</formula2>
    </dataValidation>
    <dataValidation allowBlank="true" error="Valor inválido" errorStyle="stop" operator="between" showDropDown="false" showErrorMessage="true" showInputMessage="false" sqref="C125" type="list">
      <formula1>Listas!$G$2:$G$3</formula1>
      <formula2>0</formula2>
    </dataValidation>
    <dataValidation allowBlank="true" error="Valor inválido" errorStyle="stop" operator="between" showDropDown="false" showErrorMessage="true" showInputMessage="false" sqref="C127" type="list">
      <formula1>Sector_Nome</formula1>
      <formula2>0</formula2>
    </dataValidation>
    <dataValidation allowBlank="true" error="Valor inválido" errorStyle="stop" operator="between" showDropDown="false" showErrorMessage="true" showInputMessage="false" sqref="C128" type="list">
      <formula1>Reg_Nome</formula1>
      <formula2>0</formula2>
    </dataValidation>
    <dataValidation allowBlank="true" error="Valor inválido" errorStyle="stop" operator="between" showDropDown="false" showErrorMessage="true" showInputMessage="false" sqref="C129" type="list">
      <formula1>Cross_Nome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11" min="3" style="0" width="17"/>
  </cols>
  <sheetData>
    <row r="1" customFormat="false" ht="25.5" hidden="false" customHeight="true" outlineLevel="0" collapsed="false">
      <c r="A1" s="1" t="s">
        <v>490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491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B4" s="4" t="s">
        <v>492</v>
      </c>
      <c r="C4" s="5"/>
      <c r="D4" s="5"/>
      <c r="E4" s="5"/>
      <c r="F4" s="5"/>
      <c r="G4" s="5"/>
      <c r="H4" s="5"/>
      <c r="I4" s="5"/>
      <c r="J4" s="5"/>
      <c r="K4" s="5"/>
    </row>
    <row r="5" customFormat="false" ht="31.5" hidden="false" customHeight="true" outlineLevel="0" collapsed="false">
      <c r="B5" s="6" t="s">
        <v>493</v>
      </c>
      <c r="C5" s="6" t="s">
        <v>5</v>
      </c>
      <c r="D5" s="6" t="s">
        <v>494</v>
      </c>
    </row>
    <row r="6" customFormat="false" ht="15" hidden="false" customHeight="false" outlineLevel="0" collapsed="false">
      <c r="B6" s="7" t="s">
        <v>495</v>
      </c>
      <c r="C6" s="18" t="n">
        <f aca="false">INDEX(SAU_PP,MATCH("Conforto|AMB_CONS",SAU_Key,0))</f>
        <v>73768.4260771812</v>
      </c>
    </row>
    <row r="7" customFormat="false" ht="15" hidden="false" customHeight="false" outlineLevel="0" collapsed="false">
      <c r="B7" s="9" t="s">
        <v>496</v>
      </c>
      <c r="C7" s="18" t="n">
        <f aca="false">INDEX(SAU_PP,MATCH("Conforto|AMB_MCDT",SAU_Key,0))</f>
        <v>65563.7482625543</v>
      </c>
    </row>
    <row r="8" customFormat="false" ht="15" hidden="false" customHeight="false" outlineLevel="0" collapsed="false">
      <c r="B8" s="7" t="s">
        <v>497</v>
      </c>
      <c r="C8" s="18" t="n">
        <f aca="false">INDEX(SAU_PP,MATCH("Conforto|MAL",SAU_Key,0))</f>
        <v>12945.0242686446</v>
      </c>
    </row>
    <row r="9" customFormat="false" ht="15" hidden="false" customHeight="false" outlineLevel="0" collapsed="false">
      <c r="B9" s="9" t="s">
        <v>498</v>
      </c>
      <c r="C9" s="18" t="n">
        <f aca="false">INDEX(SAU_PP,MATCH("Conforto|URG",SAU_Key,0))</f>
        <v>21403.3495407515</v>
      </c>
    </row>
    <row r="10" customFormat="false" ht="15" hidden="false" customHeight="false" outlineLevel="0" collapsed="false">
      <c r="B10" s="7" t="s">
        <v>499</v>
      </c>
      <c r="C10" s="18" t="n">
        <f aca="false">INDEX(SAU_PP,MATCH("Conforto|MED",SAU_Key,0))</f>
        <v>67955.327301025</v>
      </c>
    </row>
    <row r="11" customFormat="false" ht="15" hidden="false" customHeight="false" outlineLevel="0" collapsed="false">
      <c r="B11" s="9" t="s">
        <v>500</v>
      </c>
      <c r="C11" s="18" t="n">
        <f aca="false">INDEX(SAU_PP,MATCH("Conforto|HOSP_INT",SAU_Key,0))+INDEX(SAU_PP,MATCH("Conforto|HOSP_CIR",SAU_Key,0))+INDEX(SAU_PP,MATCH("Conforto|HOSP_UCI",SAU_Key,0))</f>
        <v>110467.934027029</v>
      </c>
    </row>
    <row r="12" customFormat="false" ht="15" hidden="false" customHeight="false" outlineLevel="0" collapsed="false">
      <c r="B12" s="7" t="s">
        <v>501</v>
      </c>
      <c r="C12" s="18" t="n">
        <f aca="false">SUMIFS(SAU_PP,SAU_Plan,"Conforto",SAU_Status,"B")+C10</f>
        <v>353712.347994687</v>
      </c>
    </row>
    <row r="13" customFormat="false" ht="15" hidden="false" customHeight="false" outlineLevel="0" collapsed="false">
      <c r="B13" s="9" t="s">
        <v>502</v>
      </c>
      <c r="C13" s="40" t="n">
        <f aca="false">INDEX(Cov_Lambda,MATCH("AMB_CONS",Cov_Cod,0))+INDEX(Cov_Lambda,MATCH("URG",Cov_Cod,0))</f>
        <v>3.02</v>
      </c>
    </row>
    <row r="14" customFormat="false" ht="15" hidden="false" customHeight="false" outlineLevel="0" collapsed="false">
      <c r="B14" s="7" t="s">
        <v>503</v>
      </c>
      <c r="C14" s="18" t="n">
        <f aca="false">(C6+C9)/C13</f>
        <v>31513.8329860704</v>
      </c>
    </row>
    <row r="15" customFormat="false" ht="15" hidden="false" customHeight="false" outlineLevel="0" collapsed="false">
      <c r="B15" s="9" t="s">
        <v>504</v>
      </c>
      <c r="C15" s="36" t="n">
        <v>0.3</v>
      </c>
      <c r="D15" s="3" t="s">
        <v>505</v>
      </c>
    </row>
    <row r="16" customFormat="false" ht="15" hidden="false" customHeight="false" outlineLevel="0" collapsed="false">
      <c r="B16" s="7" t="s">
        <v>506</v>
      </c>
      <c r="C16" s="36" t="n">
        <v>0.1</v>
      </c>
    </row>
    <row r="17" customFormat="false" ht="15" hidden="false" customHeight="false" outlineLevel="0" collapsed="false">
      <c r="B17" s="9" t="s">
        <v>507</v>
      </c>
      <c r="C17" s="18" t="n">
        <f aca="false">C6*(1-INDEX(Cov_Rede,MATCH("AMB_CONS",Cov_Cod,0)))+C7*(1-INDEX(Cov_Rede,MATCH("AMB_MCDT",Cov_Cod,0)))+C8*(1-INDEX(Cov_Rede,MATCH("MAL",Cov_Cod,0)))+C9*(1-INDEX(Cov_Rede,MATCH("URG",Cov_Cod,0)))+C10*(1-INDEX(Cov_Rede,MATCH("MED",Cov_Cod,0)))</f>
        <v>52335.1216526264</v>
      </c>
    </row>
    <row r="18" customFormat="false" ht="15" hidden="false" customHeight="false" outlineLevel="0" collapsed="false">
      <c r="B18" s="7" t="s">
        <v>508</v>
      </c>
      <c r="C18" s="26" t="n">
        <v>0.7</v>
      </c>
      <c r="D18" s="3" t="s">
        <v>509</v>
      </c>
    </row>
    <row r="19" customFormat="false" ht="15" hidden="false" customHeight="false" outlineLevel="0" collapsed="false">
      <c r="B19" s="9" t="s">
        <v>510</v>
      </c>
      <c r="C19" s="18" t="n">
        <f aca="false">(C6+C7+C8)/C18</f>
        <v>217538.855154829</v>
      </c>
    </row>
    <row r="20" customFormat="false" ht="15" hidden="false" customHeight="false" outlineLevel="0" collapsed="false">
      <c r="B20" s="7" t="s">
        <v>511</v>
      </c>
      <c r="C20" s="40" t="n">
        <f aca="false">INDEX(Cov_Lambda,MATCH("HOSP_INT",Cov_Cod,0))+INDEX(Cov_Lambda,MATCH("HOSP_CIR",Cov_Cod,0))+INDEX(Cov_Lambda,MATCH("HOSP_UCI",Cov_Cod,0))</f>
        <v>0.0725</v>
      </c>
    </row>
    <row r="21" customFormat="false" ht="15" hidden="false" customHeight="false" outlineLevel="0" collapsed="false">
      <c r="B21" s="9" t="s">
        <v>512</v>
      </c>
      <c r="C21" s="18" t="n">
        <f aca="false">C11/C20</f>
        <v>1523695.64175212</v>
      </c>
    </row>
    <row r="23" customFormat="false" ht="43.5" hidden="false" customHeight="true" outlineLevel="0" collapsed="false">
      <c r="B23" s="6" t="s">
        <v>513</v>
      </c>
      <c r="C23" s="6" t="s">
        <v>514</v>
      </c>
      <c r="D23" s="6" t="s">
        <v>515</v>
      </c>
      <c r="E23" s="6" t="s">
        <v>516</v>
      </c>
      <c r="F23" s="6" t="s">
        <v>517</v>
      </c>
      <c r="G23" s="6" t="s">
        <v>518</v>
      </c>
      <c r="H23" s="6" t="s">
        <v>519</v>
      </c>
    </row>
    <row r="24" customFormat="false" ht="15" hidden="false" customHeight="false" outlineLevel="0" collapsed="false">
      <c r="B24" s="14" t="n">
        <v>0</v>
      </c>
      <c r="C24" s="20" t="n">
        <f aca="false">MIN(0.9,$C$15*B24/$C$14)</f>
        <v>0</v>
      </c>
      <c r="D24" s="18" t="n">
        <f aca="false">($C$6+$C$9)*(1-C24)*MAX(0,$C$14-B24)/$C$14</f>
        <v>95171.7756179327</v>
      </c>
      <c r="E24" s="18" t="n">
        <f aca="false">($C$6+$C$9)-D24</f>
        <v>0</v>
      </c>
      <c r="F24" s="20" t="n">
        <f aca="false">-E24/$C$12</f>
        <v>-0</v>
      </c>
      <c r="G24" s="26"/>
      <c r="H24" s="58" t="n">
        <f aca="false">IF(G24="",F24,G24)</f>
        <v>-0</v>
      </c>
    </row>
    <row r="25" customFormat="false" ht="15" hidden="false" customHeight="false" outlineLevel="0" collapsed="false">
      <c r="B25" s="13" t="n">
        <v>3000</v>
      </c>
      <c r="C25" s="20" t="n">
        <f aca="false">MIN(0.9,$C$15*B25/$C$14)</f>
        <v>0.0285588871527565</v>
      </c>
      <c r="D25" s="18" t="n">
        <f aca="false">($C$6+$C$9)*(1-C25)*MAX(0,$C$14-B25)/$C$14</f>
        <v>83652.5191355366</v>
      </c>
      <c r="E25" s="18" t="n">
        <f aca="false">($C$6+$C$9)-D25</f>
        <v>11519.256482396</v>
      </c>
      <c r="F25" s="20" t="n">
        <f aca="false">-E25/$C$12</f>
        <v>-0.0325667355061324</v>
      </c>
      <c r="G25" s="26"/>
      <c r="H25" s="58" t="n">
        <f aca="false">IF(G25="",F25,G25)</f>
        <v>-0.0325667355061324</v>
      </c>
    </row>
    <row r="26" customFormat="false" ht="15" hidden="false" customHeight="false" outlineLevel="0" collapsed="false">
      <c r="B26" s="14" t="n">
        <v>5000</v>
      </c>
      <c r="C26" s="20" t="n">
        <f aca="false">MIN(0.9,$C$15*B26/$C$14)</f>
        <v>0.0475981452545941</v>
      </c>
      <c r="D26" s="18" t="n">
        <f aca="false">($C$6+$C$9)*(1-C26)*MAX(0,$C$14-B26)/$C$14</f>
        <v>76260.507611277</v>
      </c>
      <c r="E26" s="18" t="n">
        <f aca="false">($C$6+$C$9)-D26</f>
        <v>18911.2680066556</v>
      </c>
      <c r="F26" s="20" t="n">
        <f aca="false">-E26/$C$12</f>
        <v>-0.0534651055126289</v>
      </c>
      <c r="G26" s="26"/>
      <c r="H26" s="58" t="n">
        <f aca="false">IF(G26="",F26,G26)</f>
        <v>-0.0534651055126289</v>
      </c>
    </row>
    <row r="27" customFormat="false" ht="15" hidden="false" customHeight="false" outlineLevel="0" collapsed="false">
      <c r="B27" s="13" t="n">
        <v>10000</v>
      </c>
      <c r="C27" s="20" t="n">
        <f aca="false">MIN(0.9,$C$15*B27/$C$14)</f>
        <v>0.0951962905091883</v>
      </c>
      <c r="D27" s="18" t="n">
        <f aca="false">($C$6+$C$9)*(1-C27)*MAX(0,$C$14-B27)/$C$14</f>
        <v>58786.7035913101</v>
      </c>
      <c r="E27" s="18" t="n">
        <f aca="false">($C$6+$C$9)-D27</f>
        <v>36385.0720266225</v>
      </c>
      <c r="F27" s="20" t="n">
        <f aca="false">-E27/$C$12</f>
        <v>-0.102866276037299</v>
      </c>
      <c r="G27" s="26"/>
      <c r="H27" s="58" t="n">
        <f aca="false">IF(G27="",F27,G27)</f>
        <v>-0.102866276037299</v>
      </c>
    </row>
    <row r="29" customFormat="false" ht="43.5" hidden="false" customHeight="true" outlineLevel="0" collapsed="false">
      <c r="B29" s="6" t="s">
        <v>520</v>
      </c>
      <c r="C29" s="6" t="s">
        <v>516</v>
      </c>
      <c r="D29" s="6" t="s">
        <v>517</v>
      </c>
      <c r="E29" s="6" t="s">
        <v>518</v>
      </c>
      <c r="F29" s="6" t="s">
        <v>519</v>
      </c>
    </row>
    <row r="30" customFormat="false" ht="15" hidden="false" customHeight="false" outlineLevel="0" collapsed="false">
      <c r="B30" s="8" t="n">
        <v>1</v>
      </c>
      <c r="C30" s="18" t="n">
        <f aca="false">(1-B30)*$C$17*(1+$C$16)</f>
        <v>0</v>
      </c>
      <c r="D30" s="20" t="n">
        <f aca="false">-C30/$C$12</f>
        <v>-0</v>
      </c>
      <c r="E30" s="26"/>
      <c r="F30" s="58" t="n">
        <f aca="false">IF(E30="",D30,E30)</f>
        <v>-0</v>
      </c>
    </row>
    <row r="31" customFormat="false" ht="15" hidden="false" customHeight="false" outlineLevel="0" collapsed="false">
      <c r="B31" s="11" t="n">
        <v>0.9</v>
      </c>
      <c r="C31" s="18" t="n">
        <f aca="false">(1-B31)*$C$17*(1+$C$16)</f>
        <v>5756.86338178891</v>
      </c>
      <c r="D31" s="20" t="n">
        <f aca="false">-C31/$C$12</f>
        <v>-0.0162755510640963</v>
      </c>
      <c r="E31" s="26"/>
      <c r="F31" s="58" t="n">
        <f aca="false">IF(E31="",D31,E31)</f>
        <v>-0.0162755510640963</v>
      </c>
    </row>
    <row r="32" customFormat="false" ht="15" hidden="false" customHeight="false" outlineLevel="0" collapsed="false">
      <c r="B32" s="8" t="n">
        <v>0.8</v>
      </c>
      <c r="C32" s="18" t="n">
        <f aca="false">(1-B32)*$C$17*(1+$C$16)</f>
        <v>11513.7267635778</v>
      </c>
      <c r="D32" s="20" t="n">
        <f aca="false">-C32/$C$12</f>
        <v>-0.0325511021281925</v>
      </c>
      <c r="E32" s="26"/>
      <c r="F32" s="58" t="n">
        <f aca="false">IF(E32="",D32,E32)</f>
        <v>-0.0325511021281925</v>
      </c>
    </row>
    <row r="33" customFormat="false" ht="15" hidden="false" customHeight="false" outlineLevel="0" collapsed="false">
      <c r="B33" s="11" t="n">
        <v>0.7</v>
      </c>
      <c r="C33" s="18" t="n">
        <f aca="false">(1-B33)*$C$17*(1+$C$16)</f>
        <v>17270.5901453667</v>
      </c>
      <c r="D33" s="20" t="n">
        <f aca="false">-C33/$C$12</f>
        <v>-0.0488266531922888</v>
      </c>
      <c r="E33" s="26"/>
      <c r="F33" s="58" t="n">
        <f aca="false">IF(E33="",D33,E33)</f>
        <v>-0.0488266531922888</v>
      </c>
    </row>
    <row r="35" customFormat="false" ht="43.5" hidden="false" customHeight="true" outlineLevel="0" collapsed="false">
      <c r="B35" s="6" t="s">
        <v>521</v>
      </c>
      <c r="C35" s="6" t="s">
        <v>522</v>
      </c>
      <c r="D35" s="6" t="s">
        <v>517</v>
      </c>
      <c r="E35" s="6" t="s">
        <v>518</v>
      </c>
      <c r="F35" s="6" t="s">
        <v>519</v>
      </c>
    </row>
    <row r="36" customFormat="false" ht="15" hidden="false" customHeight="false" outlineLevel="0" collapsed="false">
      <c r="B36" s="14" t="n">
        <v>0</v>
      </c>
      <c r="C36" s="18" t="n">
        <f aca="false">$C$18*$C$19*(1-EXP(-B36/$C$19))</f>
        <v>0</v>
      </c>
      <c r="D36" s="20" t="n">
        <f aca="false">-C36/$C$12</f>
        <v>-0</v>
      </c>
      <c r="E36" s="26"/>
      <c r="F36" s="58" t="n">
        <f aca="false">IF(E36="",D36,E36)</f>
        <v>-0</v>
      </c>
    </row>
    <row r="37" customFormat="false" ht="15" hidden="false" customHeight="false" outlineLevel="0" collapsed="false">
      <c r="B37" s="13" t="n">
        <v>25000</v>
      </c>
      <c r="C37" s="18" t="n">
        <f aca="false">$C$18*$C$19*(1-EXP(-B37/$C$19))</f>
        <v>16531.8713625562</v>
      </c>
      <c r="D37" s="20" t="n">
        <f aca="false">-C37/$C$12</f>
        <v>-0.0467381799258095</v>
      </c>
      <c r="E37" s="26"/>
      <c r="F37" s="58" t="n">
        <f aca="false">IF(E37="",D37,E37)</f>
        <v>-0.0467381799258095</v>
      </c>
    </row>
    <row r="38" customFormat="false" ht="15" hidden="false" customHeight="false" outlineLevel="0" collapsed="false">
      <c r="B38" s="14" t="n">
        <v>50000</v>
      </c>
      <c r="C38" s="18" t="n">
        <f aca="false">$C$18*$C$19*(1-EXP(-B38/$C$19))</f>
        <v>31268.9712606664</v>
      </c>
      <c r="D38" s="20" t="n">
        <f aca="false">-C38/$C$12</f>
        <v>-0.0884022608708478</v>
      </c>
      <c r="E38" s="26"/>
      <c r="F38" s="58" t="n">
        <f aca="false">IF(E38="",D38,E38)</f>
        <v>-0.0884022608708478</v>
      </c>
    </row>
    <row r="39" customFormat="false" ht="15" hidden="false" customHeight="false" outlineLevel="0" collapsed="false">
      <c r="B39" s="13" t="n">
        <v>100000</v>
      </c>
      <c r="C39" s="18" t="n">
        <f aca="false">$C$18*$C$19*(1-EXP(-B39/$C$19))</f>
        <v>56117.0957193443</v>
      </c>
      <c r="D39" s="20" t="n">
        <f aca="false">-C39/$C$12</f>
        <v>-0.158651785942704</v>
      </c>
      <c r="E39" s="26"/>
      <c r="F39" s="58" t="n">
        <f aca="false">IF(E39="",D39,E39)</f>
        <v>-0.158651785942704</v>
      </c>
    </row>
    <row r="41" customFormat="false" ht="43.5" hidden="false" customHeight="true" outlineLevel="0" collapsed="false">
      <c r="B41" s="6" t="s">
        <v>523</v>
      </c>
      <c r="C41" s="6" t="s">
        <v>524</v>
      </c>
      <c r="D41" s="6" t="s">
        <v>517</v>
      </c>
      <c r="E41" s="6" t="s">
        <v>518</v>
      </c>
      <c r="F41" s="6" t="s">
        <v>519</v>
      </c>
    </row>
    <row r="42" customFormat="false" ht="15" hidden="false" customHeight="false" outlineLevel="0" collapsed="false">
      <c r="B42" s="14" t="n">
        <v>0</v>
      </c>
      <c r="C42" s="18" t="n">
        <f aca="false">$C$20*MIN(B42,$C$21)</f>
        <v>0</v>
      </c>
      <c r="D42" s="20" t="n">
        <f aca="false">-C42/$C$12</f>
        <v>-0</v>
      </c>
      <c r="E42" s="26"/>
      <c r="F42" s="58" t="n">
        <f aca="false">IF(E42="",D42,E42)</f>
        <v>-0</v>
      </c>
    </row>
    <row r="43" customFormat="false" ht="15" hidden="false" customHeight="false" outlineLevel="0" collapsed="false">
      <c r="B43" s="13" t="n">
        <v>50000</v>
      </c>
      <c r="C43" s="18" t="n">
        <f aca="false">$C$20*MIN(B43,$C$21)</f>
        <v>3625</v>
      </c>
      <c r="D43" s="20" t="n">
        <f aca="false">-C43/$C$12</f>
        <v>-0.0102484406341801</v>
      </c>
      <c r="E43" s="26"/>
      <c r="F43" s="58" t="n">
        <f aca="false">IF(E43="",D43,E43)</f>
        <v>-0.0102484406341801</v>
      </c>
    </row>
    <row r="44" customFormat="false" ht="15" hidden="false" customHeight="false" outlineLevel="0" collapsed="false">
      <c r="B44" s="14" t="n">
        <v>100000</v>
      </c>
      <c r="C44" s="18" t="n">
        <f aca="false">$C$20*MIN(B44,$C$21)</f>
        <v>7250</v>
      </c>
      <c r="D44" s="20" t="n">
        <f aca="false">-C44/$C$12</f>
        <v>-0.0204968812683602</v>
      </c>
      <c r="E44" s="26"/>
      <c r="F44" s="58" t="n">
        <f aca="false">IF(E44="",D44,E44)</f>
        <v>-0.0204968812683602</v>
      </c>
    </row>
    <row r="45" customFormat="false" ht="15" hidden="false" customHeight="false" outlineLevel="0" collapsed="false">
      <c r="B45" s="13" t="n">
        <v>250000</v>
      </c>
      <c r="C45" s="18" t="n">
        <f aca="false">$C$20*MIN(B45,$C$21)</f>
        <v>18125</v>
      </c>
      <c r="D45" s="20" t="n">
        <f aca="false">-C45/$C$12</f>
        <v>-0.0512422031709005</v>
      </c>
      <c r="E45" s="26"/>
      <c r="F45" s="58" t="n">
        <f aca="false">IF(E45="",D45,E45)</f>
        <v>-0.0512422031709005</v>
      </c>
    </row>
    <row r="46" customFormat="false" ht="15" hidden="false" customHeight="false" outlineLevel="0" collapsed="false">
      <c r="B46" s="3" t="s">
        <v>525</v>
      </c>
    </row>
    <row r="48" customFormat="false" ht="43.5" hidden="false" customHeight="true" outlineLevel="0" collapsed="false">
      <c r="B48" s="6" t="s">
        <v>526</v>
      </c>
      <c r="C48" s="6" t="s">
        <v>527</v>
      </c>
      <c r="D48" s="6" t="s">
        <v>528</v>
      </c>
      <c r="E48" s="6" t="s">
        <v>529</v>
      </c>
      <c r="F48" s="6" t="s">
        <v>530</v>
      </c>
      <c r="G48" s="6" t="s">
        <v>531</v>
      </c>
      <c r="H48" s="6" t="s">
        <v>532</v>
      </c>
      <c r="I48" s="6" t="s">
        <v>533</v>
      </c>
      <c r="J48" s="6" t="s">
        <v>534</v>
      </c>
    </row>
    <row r="49" customFormat="false" ht="15" hidden="false" customHeight="false" outlineLevel="0" collapsed="false">
      <c r="B49" s="16" t="s">
        <v>535</v>
      </c>
      <c r="C49" s="35" t="n">
        <v>0</v>
      </c>
      <c r="D49" s="26" t="n">
        <v>1</v>
      </c>
      <c r="E49" s="35" t="n">
        <v>0</v>
      </c>
      <c r="F49" s="35" t="n">
        <v>0</v>
      </c>
      <c r="G49" s="20" t="n">
        <f aca="false">(1+INDEX(Copay_Adj,MATCH(C49,Copay_Val,0)))*(1+INDEX(Comp_Adj,MATCH(D49,Comp_Val,0)))*(1+INDEX(FA_Adj,MATCH(E49,FA_Val,0)))*(1+INDEX(FI_Adj,MATCH(F49,FI_Val,0)))-1</f>
        <v>0</v>
      </c>
      <c r="H49" s="58" t="n">
        <f aca="false">(1+G49)/(1+$G$50)-1</f>
        <v>0.0507648067865345</v>
      </c>
      <c r="I49" s="20" t="n">
        <v>0.12</v>
      </c>
      <c r="J49" s="20" t="n">
        <v>0.15</v>
      </c>
    </row>
    <row r="50" customFormat="false" ht="15" hidden="false" customHeight="false" outlineLevel="0" collapsed="false">
      <c r="B50" s="16" t="s">
        <v>536</v>
      </c>
      <c r="C50" s="35" t="n">
        <v>3000</v>
      </c>
      <c r="D50" s="26" t="n">
        <v>0.9</v>
      </c>
      <c r="E50" s="35" t="n">
        <v>0</v>
      </c>
      <c r="F50" s="35" t="n">
        <v>0</v>
      </c>
      <c r="G50" s="20" t="n">
        <f aca="false">(1+INDEX(Copay_Adj,MATCH(C50,Copay_Val,0)))*(1+INDEX(Comp_Adj,MATCH(D50,Comp_Val,0)))*(1+INDEX(FA_Adj,MATCH(E50,FA_Val,0)))*(1+INDEX(FI_Adj,MATCH(F50,FI_Val,0)))-1</f>
        <v>-0.0483122450035077</v>
      </c>
      <c r="H50" s="58" t="n">
        <f aca="false">(1+G50)/(1+$G$50)-1</f>
        <v>0</v>
      </c>
      <c r="I50" s="20" t="n">
        <v>0</v>
      </c>
      <c r="J50" s="20" t="n">
        <v>0</v>
      </c>
    </row>
    <row r="51" customFormat="false" ht="15" hidden="false" customHeight="false" outlineLevel="0" collapsed="false">
      <c r="B51" s="16" t="s">
        <v>537</v>
      </c>
      <c r="C51" s="35" t="n">
        <v>5000</v>
      </c>
      <c r="D51" s="26" t="n">
        <v>0.8</v>
      </c>
      <c r="E51" s="35" t="n">
        <v>25000</v>
      </c>
      <c r="F51" s="35" t="n">
        <v>0</v>
      </c>
      <c r="G51" s="20" t="n">
        <f aca="false">(1+INDEX(Copay_Adj,MATCH(C51,Copay_Val,0)))*(1+INDEX(Comp_Adj,MATCH(D51,Comp_Val,0)))*(1+INDEX(FA_Adj,MATCH(E51,FA_Val,0)))*(1+INDEX(FI_Adj,MATCH(F51,FI_Val,0)))-1</f>
        <v>-0.127075139170633</v>
      </c>
      <c r="H51" s="58" t="n">
        <f aca="false">(1+G51)/(1+$G$50)-1</f>
        <v>-0.0827612772714681</v>
      </c>
      <c r="I51" s="20" t="n">
        <v>-0.07</v>
      </c>
      <c r="J51" s="20" t="n">
        <v>-0.07</v>
      </c>
    </row>
    <row r="52" customFormat="false" ht="15" hidden="false" customHeight="false" outlineLevel="0" collapsed="false">
      <c r="B52" s="16" t="s">
        <v>538</v>
      </c>
      <c r="C52" s="35" t="n">
        <v>10000</v>
      </c>
      <c r="D52" s="26" t="n">
        <v>0.7</v>
      </c>
      <c r="E52" s="35" t="n">
        <v>50000</v>
      </c>
      <c r="F52" s="35" t="n">
        <v>50000</v>
      </c>
      <c r="G52" s="20" t="n">
        <f aca="false">(1+INDEX(Copay_Adj,MATCH(C52,Copay_Val,0)))*(1+INDEX(Comp_Adj,MATCH(D52,Comp_Val,0)))*(1+INDEX(FA_Adj,MATCH(E52,FA_Val,0)))*(1+INDEX(FI_Adj,MATCH(F52,FI_Val,0)))-1</f>
        <v>-0.230078781286422</v>
      </c>
      <c r="H52" s="58" t="n">
        <f aca="false">(1+G52)/(1+$G$50)-1</f>
        <v>-0.190993879377575</v>
      </c>
      <c r="I52" s="20" t="n">
        <v>-0.14</v>
      </c>
      <c r="J52" s="20" t="n">
        <v>-0.12</v>
      </c>
    </row>
    <row r="53" customFormat="false" ht="15" hidden="false" customHeight="false" outlineLevel="0" collapsed="false">
      <c r="B53" s="16" t="s">
        <v>539</v>
      </c>
      <c r="C53" s="59" t="s">
        <v>298</v>
      </c>
      <c r="D53" s="59" t="s">
        <v>298</v>
      </c>
      <c r="E53" s="59" t="s">
        <v>298</v>
      </c>
      <c r="F53" s="59" t="s">
        <v>298</v>
      </c>
      <c r="G53" s="20" t="n">
        <f aca="false">(C11+C9+INDEX(SAU_PP,MATCH("Conforto|AMBUL",SAU_Key,0)))/C12-1</f>
        <v>-0.622631715171881</v>
      </c>
      <c r="H53" s="58" t="n">
        <f aca="false">(1+G53)/(1+$G$50)-1</f>
        <v>-0.603474687105216</v>
      </c>
      <c r="I53" s="20" t="n">
        <v>-0.4</v>
      </c>
      <c r="J53" s="20" t="n">
        <v>-0.4</v>
      </c>
    </row>
    <row r="56" customFormat="false" ht="15" hidden="false" customHeight="false" outlineLevel="0" collapsed="false">
      <c r="B56" s="4" t="s">
        <v>540</v>
      </c>
      <c r="C56" s="5"/>
      <c r="D56" s="5"/>
      <c r="E56" s="5"/>
      <c r="F56" s="5"/>
      <c r="G56" s="5"/>
      <c r="H56" s="5"/>
      <c r="I56" s="5"/>
      <c r="J56" s="5"/>
      <c r="K56" s="5"/>
    </row>
    <row r="57" customFormat="false" ht="31.5" hidden="false" customHeight="true" outlineLevel="0" collapsed="false">
      <c r="B57" s="6" t="s">
        <v>541</v>
      </c>
      <c r="C57" s="6" t="s">
        <v>542</v>
      </c>
      <c r="D57" s="6" t="s">
        <v>543</v>
      </c>
    </row>
    <row r="58" customFormat="false" ht="15" hidden="false" customHeight="false" outlineLevel="0" collapsed="false">
      <c r="B58" s="16" t="s">
        <v>544</v>
      </c>
      <c r="C58" s="26" t="n">
        <v>0</v>
      </c>
      <c r="D58" s="7" t="s">
        <v>545</v>
      </c>
    </row>
    <row r="59" customFormat="false" ht="15" hidden="false" customHeight="false" outlineLevel="0" collapsed="false">
      <c r="B59" s="21" t="s">
        <v>546</v>
      </c>
      <c r="C59" s="26" t="n">
        <v>0.15</v>
      </c>
      <c r="D59" s="7" t="s">
        <v>547</v>
      </c>
    </row>
    <row r="60" customFormat="false" ht="15" hidden="false" customHeight="false" outlineLevel="0" collapsed="false">
      <c r="B60" s="16" t="s">
        <v>548</v>
      </c>
      <c r="C60" s="26" t="n">
        <v>0.3</v>
      </c>
      <c r="D60" s="7" t="s">
        <v>549</v>
      </c>
    </row>
    <row r="61" customFormat="false" ht="15" hidden="false" customHeight="false" outlineLevel="0" collapsed="false">
      <c r="B61" s="21" t="s">
        <v>550</v>
      </c>
      <c r="C61" s="26" t="n">
        <v>0.5</v>
      </c>
      <c r="D61" s="7" t="s">
        <v>551</v>
      </c>
    </row>
    <row r="62" customFormat="false" ht="15" hidden="false" customHeight="false" outlineLevel="0" collapsed="false">
      <c r="B62" s="16" t="s">
        <v>552</v>
      </c>
      <c r="C62" s="26" t="n">
        <v>0</v>
      </c>
      <c r="D62" s="7" t="s">
        <v>553</v>
      </c>
    </row>
    <row r="64" customFormat="false" ht="31.5" hidden="false" customHeight="true" outlineLevel="0" collapsed="false">
      <c r="B64" s="6" t="s">
        <v>554</v>
      </c>
      <c r="C64" s="6" t="s">
        <v>555</v>
      </c>
      <c r="D64" s="6" t="s">
        <v>556</v>
      </c>
      <c r="E64" s="6" t="s">
        <v>557</v>
      </c>
    </row>
    <row r="65" customFormat="false" ht="15" hidden="false" customHeight="false" outlineLevel="0" collapsed="false">
      <c r="B65" s="7" t="s">
        <v>558</v>
      </c>
      <c r="C65" s="17" t="s">
        <v>546</v>
      </c>
      <c r="D65" s="20" t="n">
        <f aca="false">INDEX(Clin_Agr,MATCH(C65,Clin_Nome,0))</f>
        <v>0.15</v>
      </c>
      <c r="E65" s="32" t="s">
        <v>559</v>
      </c>
    </row>
    <row r="66" customFormat="false" ht="15" hidden="false" customHeight="false" outlineLevel="0" collapsed="false">
      <c r="B66" s="9" t="s">
        <v>560</v>
      </c>
      <c r="C66" s="17" t="s">
        <v>546</v>
      </c>
      <c r="D66" s="20" t="n">
        <f aca="false">INDEX(Clin_Agr,MATCH(C66,Clin_Nome,0))</f>
        <v>0.15</v>
      </c>
      <c r="E66" s="32"/>
    </row>
    <row r="67" customFormat="false" ht="15" hidden="false" customHeight="false" outlineLevel="0" collapsed="false">
      <c r="B67" s="7" t="s">
        <v>561</v>
      </c>
      <c r="C67" s="17" t="s">
        <v>546</v>
      </c>
      <c r="D67" s="20" t="n">
        <f aca="false">INDEX(Clin_Agr,MATCH(C67,Clin_Nome,0))</f>
        <v>0.15</v>
      </c>
      <c r="E67" s="32"/>
    </row>
    <row r="68" customFormat="false" ht="15" hidden="false" customHeight="false" outlineLevel="0" collapsed="false">
      <c r="B68" s="9" t="s">
        <v>562</v>
      </c>
      <c r="C68" s="17" t="s">
        <v>548</v>
      </c>
      <c r="D68" s="20" t="n">
        <f aca="false">INDEX(Clin_Agr,MATCH(C68,Clin_Nome,0))</f>
        <v>0.3</v>
      </c>
      <c r="E68" s="32" t="s">
        <v>563</v>
      </c>
    </row>
    <row r="69" customFormat="false" ht="15" hidden="false" customHeight="false" outlineLevel="0" collapsed="false">
      <c r="B69" s="7" t="s">
        <v>564</v>
      </c>
      <c r="C69" s="17" t="s">
        <v>548</v>
      </c>
      <c r="D69" s="20" t="n">
        <f aca="false">INDEX(Clin_Agr,MATCH(C69,Clin_Nome,0))</f>
        <v>0.3</v>
      </c>
      <c r="E69" s="32"/>
    </row>
    <row r="70" customFormat="false" ht="15" hidden="false" customHeight="false" outlineLevel="0" collapsed="false">
      <c r="B70" s="9" t="s">
        <v>565</v>
      </c>
      <c r="C70" s="17" t="s">
        <v>548</v>
      </c>
      <c r="D70" s="20" t="n">
        <f aca="false">INDEX(Clin_Agr,MATCH(C70,Clin_Nome,0))</f>
        <v>0.3</v>
      </c>
      <c r="E70" s="32" t="s">
        <v>566</v>
      </c>
    </row>
    <row r="71" customFormat="false" ht="15" hidden="false" customHeight="false" outlineLevel="0" collapsed="false">
      <c r="B71" s="7" t="s">
        <v>567</v>
      </c>
      <c r="C71" s="17" t="s">
        <v>550</v>
      </c>
      <c r="D71" s="20" t="n">
        <f aca="false">INDEX(Clin_Agr,MATCH(C71,Clin_Nome,0))</f>
        <v>0.5</v>
      </c>
      <c r="E71" s="32" t="s">
        <v>568</v>
      </c>
    </row>
    <row r="72" customFormat="false" ht="15" hidden="false" customHeight="false" outlineLevel="0" collapsed="false">
      <c r="B72" s="9" t="s">
        <v>569</v>
      </c>
      <c r="C72" s="17" t="s">
        <v>550</v>
      </c>
      <c r="D72" s="20" t="n">
        <f aca="false">INDEX(Clin_Agr,MATCH(C72,Clin_Nome,0))</f>
        <v>0.5</v>
      </c>
      <c r="E72" s="32" t="s">
        <v>570</v>
      </c>
    </row>
    <row r="73" customFormat="false" ht="15" hidden="false" customHeight="false" outlineLevel="0" collapsed="false">
      <c r="B73" s="7" t="s">
        <v>571</v>
      </c>
      <c r="C73" s="17" t="s">
        <v>552</v>
      </c>
      <c r="D73" s="20" t="n">
        <f aca="false">INDEX(Clin_Agr,MATCH(C73,Clin_Nome,0))</f>
        <v>0</v>
      </c>
      <c r="E73" s="32" t="s">
        <v>572</v>
      </c>
    </row>
    <row r="74" customFormat="false" ht="15" hidden="false" customHeight="false" outlineLevel="0" collapsed="false">
      <c r="B74" s="9" t="s">
        <v>573</v>
      </c>
      <c r="C74" s="17" t="s">
        <v>552</v>
      </c>
      <c r="D74" s="20" t="n">
        <f aca="false">INDEX(Clin_Agr,MATCH(C74,Clin_Nome,0))</f>
        <v>0</v>
      </c>
      <c r="E74" s="32" t="s">
        <v>574</v>
      </c>
    </row>
    <row r="75" customFormat="false" ht="15" hidden="false" customHeight="false" outlineLevel="0" collapsed="false">
      <c r="B75" s="7" t="s">
        <v>575</v>
      </c>
      <c r="C75" s="17" t="s">
        <v>552</v>
      </c>
      <c r="D75" s="20" t="n">
        <f aca="false">INDEX(Clin_Agr,MATCH(C75,Clin_Nome,0))</f>
        <v>0</v>
      </c>
      <c r="E75" s="32"/>
    </row>
    <row r="78" customFormat="false" ht="31.5" hidden="false" customHeight="true" outlineLevel="0" collapsed="false">
      <c r="B78" s="6" t="s">
        <v>576</v>
      </c>
      <c r="C78" s="6" t="s">
        <v>542</v>
      </c>
      <c r="D78" s="6" t="s">
        <v>543</v>
      </c>
    </row>
    <row r="79" customFormat="false" ht="15" hidden="false" customHeight="false" outlineLevel="0" collapsed="false">
      <c r="B79" s="27" t="n">
        <v>0</v>
      </c>
      <c r="C79" s="26" t="n">
        <v>0</v>
      </c>
      <c r="D79" s="7" t="s">
        <v>545</v>
      </c>
    </row>
    <row r="80" customFormat="false" ht="15" hidden="false" customHeight="false" outlineLevel="0" collapsed="false">
      <c r="B80" s="27" t="n">
        <v>56</v>
      </c>
      <c r="C80" s="26" t="n">
        <v>0.15</v>
      </c>
      <c r="D80" s="7" t="s">
        <v>577</v>
      </c>
    </row>
    <row r="81" customFormat="false" ht="15" hidden="false" customHeight="false" outlineLevel="0" collapsed="false">
      <c r="B81" s="27" t="n">
        <v>61</v>
      </c>
      <c r="C81" s="26" t="n">
        <v>0.3</v>
      </c>
      <c r="D81" s="7" t="s">
        <v>578</v>
      </c>
    </row>
    <row r="82" customFormat="false" ht="15" hidden="false" customHeight="false" outlineLevel="0" collapsed="false">
      <c r="B82" s="27" t="n">
        <v>66</v>
      </c>
      <c r="C82" s="26" t="n">
        <v>0.5</v>
      </c>
      <c r="D82" s="7" t="s">
        <v>579</v>
      </c>
    </row>
    <row r="83" customFormat="false" ht="15" hidden="false" customHeight="false" outlineLevel="0" collapsed="false">
      <c r="B83" s="27" t="n">
        <v>71</v>
      </c>
      <c r="C83" s="26" t="n">
        <v>0.75</v>
      </c>
      <c r="D83" s="7" t="s">
        <v>580</v>
      </c>
    </row>
    <row r="86" customFormat="false" ht="15" hidden="false" customHeight="false" outlineLevel="0" collapsed="false">
      <c r="B86" s="4" t="s">
        <v>581</v>
      </c>
      <c r="C86" s="5"/>
      <c r="D86" s="5"/>
      <c r="E86" s="5"/>
      <c r="F86" s="5"/>
      <c r="G86" s="5"/>
      <c r="H86" s="5"/>
      <c r="I86" s="5"/>
      <c r="J86" s="5"/>
      <c r="K86" s="5"/>
    </row>
    <row r="87" customFormat="false" ht="31.5" hidden="false" customHeight="true" outlineLevel="0" collapsed="false">
      <c r="B87" s="6" t="s">
        <v>582</v>
      </c>
      <c r="C87" s="6" t="s">
        <v>583</v>
      </c>
    </row>
    <row r="88" customFormat="false" ht="15" hidden="false" customHeight="false" outlineLevel="0" collapsed="false">
      <c r="B88" s="27" t="n">
        <v>1</v>
      </c>
      <c r="C88" s="26" t="n">
        <v>0</v>
      </c>
    </row>
    <row r="89" customFormat="false" ht="15" hidden="false" customHeight="false" outlineLevel="0" collapsed="false">
      <c r="B89" s="27" t="n">
        <v>3</v>
      </c>
      <c r="C89" s="26" t="n">
        <v>-0.05</v>
      </c>
    </row>
    <row r="90" customFormat="false" ht="15" hidden="false" customHeight="false" outlineLevel="0" collapsed="false">
      <c r="B90" s="27" t="n">
        <v>4</v>
      </c>
      <c r="C90" s="26" t="n">
        <v>-0.075</v>
      </c>
    </row>
    <row r="91" customFormat="false" ht="15" hidden="false" customHeight="false" outlineLevel="0" collapsed="false">
      <c r="B91" s="27" t="n">
        <v>5</v>
      </c>
      <c r="C91" s="26" t="n">
        <v>-0.1</v>
      </c>
    </row>
    <row r="93" customFormat="false" ht="31.5" hidden="false" customHeight="true" outlineLevel="0" collapsed="false">
      <c r="B93" s="6" t="s">
        <v>584</v>
      </c>
      <c r="C93" s="6" t="s">
        <v>585</v>
      </c>
    </row>
    <row r="94" customFormat="false" ht="15" hidden="false" customHeight="false" outlineLevel="0" collapsed="false">
      <c r="B94" s="7" t="s">
        <v>544</v>
      </c>
      <c r="C94" s="26" t="n">
        <v>0</v>
      </c>
    </row>
    <row r="95" customFormat="false" ht="15" hidden="false" customHeight="false" outlineLevel="0" collapsed="false">
      <c r="B95" s="7" t="s">
        <v>396</v>
      </c>
      <c r="C95" s="26" t="n">
        <v>-0.05</v>
      </c>
    </row>
    <row r="96" customFormat="false" ht="15" hidden="false" customHeight="false" outlineLevel="0" collapsed="false">
      <c r="B96" s="7" t="s">
        <v>586</v>
      </c>
      <c r="C96" s="26" t="n">
        <v>-0.05</v>
      </c>
    </row>
    <row r="97" customFormat="false" ht="15" hidden="false" customHeight="false" outlineLevel="0" collapsed="false">
      <c r="B97" s="7" t="s">
        <v>587</v>
      </c>
      <c r="C97" s="26" t="n">
        <v>-0.08</v>
      </c>
    </row>
    <row r="98" customFormat="false" ht="15" hidden="false" customHeight="false" outlineLevel="0" collapsed="false">
      <c r="B98" s="7" t="s">
        <v>588</v>
      </c>
      <c r="C98" s="26" t="n">
        <v>-0.03</v>
      </c>
    </row>
    <row r="100" customFormat="false" ht="15" hidden="false" customHeight="false" outlineLevel="0" collapsed="false">
      <c r="B100" s="7" t="s">
        <v>589</v>
      </c>
      <c r="C100" s="26" t="n">
        <v>-0.05</v>
      </c>
    </row>
    <row r="101" customFormat="false" ht="15" hidden="false" customHeight="false" outlineLevel="0" collapsed="false">
      <c r="B101" s="7" t="s">
        <v>590</v>
      </c>
      <c r="C101" s="26" t="n">
        <v>-0.2</v>
      </c>
    </row>
    <row r="103" customFormat="false" ht="31.5" hidden="false" customHeight="true" outlineLevel="0" collapsed="false">
      <c r="B103" s="6" t="s">
        <v>591</v>
      </c>
      <c r="C103" s="6" t="s">
        <v>592</v>
      </c>
      <c r="D103" s="6" t="s">
        <v>204</v>
      </c>
    </row>
    <row r="104" customFormat="false" ht="15" hidden="false" customHeight="false" outlineLevel="0" collapsed="false">
      <c r="B104" s="7" t="s">
        <v>394</v>
      </c>
      <c r="C104" s="33" t="n">
        <v>1</v>
      </c>
      <c r="D104" s="3" t="s">
        <v>593</v>
      </c>
    </row>
    <row r="105" customFormat="false" ht="15" hidden="false" customHeight="false" outlineLevel="0" collapsed="false">
      <c r="B105" s="7" t="s">
        <v>594</v>
      </c>
      <c r="C105" s="33" t="n">
        <v>1.05</v>
      </c>
      <c r="D105" s="3" t="s">
        <v>595</v>
      </c>
    </row>
    <row r="106" customFormat="false" ht="15" hidden="false" customHeight="false" outlineLevel="0" collapsed="false">
      <c r="B106" s="7" t="s">
        <v>596</v>
      </c>
      <c r="C106" s="33" t="n">
        <v>0.95</v>
      </c>
      <c r="D106" s="3" t="s">
        <v>597</v>
      </c>
    </row>
    <row r="107" customFormat="false" ht="15" hidden="false" customHeight="false" outlineLevel="0" collapsed="false">
      <c r="B107" s="7" t="s">
        <v>598</v>
      </c>
      <c r="C107" s="33" t="n">
        <v>0.92</v>
      </c>
      <c r="D107" s="3" t="s">
        <v>599</v>
      </c>
    </row>
    <row r="108" customFormat="false" ht="15" hidden="false" customHeight="false" outlineLevel="0" collapsed="false">
      <c r="B108" s="7" t="s">
        <v>600</v>
      </c>
      <c r="C108" s="33" t="n">
        <v>0.97</v>
      </c>
      <c r="D108" s="3" t="s">
        <v>601</v>
      </c>
    </row>
  </sheetData>
  <autoFilter ref="B64:E75"/>
  <mergeCells count="2">
    <mergeCell ref="A1:K1"/>
    <mergeCell ref="A2:K2"/>
  </mergeCells>
  <dataValidations count="1">
    <dataValidation allowBlank="true" error="Valor inválido" errorStyle="stop" operator="between" showDropDown="false" showErrorMessage="true" showInputMessage="false" sqref="C65:C75" type="list">
      <formula1>Clin_Nome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12"/>
    <col collapsed="false" customWidth="true" hidden="false" outlineLevel="0" max="12" min="11" style="0" width="18"/>
    <col collapsed="false" customWidth="true" hidden="false" outlineLevel="0" max="13" min="13" style="0" width="58"/>
  </cols>
  <sheetData>
    <row r="1" customFormat="false" ht="25.5" hidden="false" customHeight="true" outlineLevel="0" collapsed="false">
      <c r="A1" s="1" t="s">
        <v>602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603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B4" s="4" t="s">
        <v>604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15" hidden="false" customHeight="false" outlineLevel="0" collapsed="false">
      <c r="B5" s="7" t="s">
        <v>605</v>
      </c>
      <c r="C5" s="17" t="s">
        <v>606</v>
      </c>
      <c r="D5" s="3" t="s">
        <v>607</v>
      </c>
    </row>
    <row r="6" customFormat="false" ht="15" hidden="false" customHeight="false" outlineLevel="0" collapsed="false">
      <c r="B6" s="7" t="s">
        <v>608</v>
      </c>
      <c r="C6" s="17" t="s">
        <v>299</v>
      </c>
      <c r="D6" s="3" t="s">
        <v>609</v>
      </c>
    </row>
    <row r="7" customFormat="false" ht="15" hidden="false" customHeight="false" outlineLevel="0" collapsed="false">
      <c r="B7" s="16" t="s">
        <v>610</v>
      </c>
      <c r="C7" s="43" t="str">
        <f aca="false">IF(C5="SAU",C6,INDEX(Map_Cat,MATCH(C6,Map_Plan,0)))</f>
        <v>Conforto</v>
      </c>
    </row>
    <row r="8" customFormat="false" ht="15" hidden="false" customHeight="false" outlineLevel="0" collapsed="false">
      <c r="B8" s="7" t="s">
        <v>611</v>
      </c>
      <c r="C8" s="17" t="s">
        <v>394</v>
      </c>
      <c r="D8" s="3"/>
    </row>
    <row r="9" customFormat="false" ht="15" hidden="false" customHeight="false" outlineLevel="0" collapsed="false">
      <c r="B9" s="7" t="s">
        <v>513</v>
      </c>
      <c r="C9" s="35" t="n">
        <v>5000</v>
      </c>
      <c r="D9" s="3"/>
    </row>
    <row r="10" customFormat="false" ht="15" hidden="false" customHeight="false" outlineLevel="0" collapsed="false">
      <c r="B10" s="7" t="s">
        <v>612</v>
      </c>
      <c r="C10" s="26" t="n">
        <v>0.8</v>
      </c>
      <c r="D10" s="3"/>
    </row>
    <row r="11" customFormat="false" ht="15" hidden="false" customHeight="false" outlineLevel="0" collapsed="false">
      <c r="B11" s="7" t="s">
        <v>613</v>
      </c>
      <c r="C11" s="35" t="n">
        <v>0</v>
      </c>
      <c r="D11" s="3"/>
    </row>
    <row r="12" customFormat="false" ht="15" hidden="false" customHeight="false" outlineLevel="0" collapsed="false">
      <c r="B12" s="7" t="s">
        <v>614</v>
      </c>
      <c r="C12" s="35" t="n">
        <v>0</v>
      </c>
      <c r="D12" s="3"/>
    </row>
    <row r="13" customFormat="false" ht="15" hidden="false" customHeight="false" outlineLevel="0" collapsed="false">
      <c r="B13" s="7" t="s">
        <v>395</v>
      </c>
      <c r="C13" s="17" t="s">
        <v>544</v>
      </c>
      <c r="D13" s="3"/>
    </row>
    <row r="14" customFormat="false" ht="15" hidden="false" customHeight="false" outlineLevel="0" collapsed="false">
      <c r="B14" s="7" t="s">
        <v>615</v>
      </c>
      <c r="C14" s="17" t="s">
        <v>616</v>
      </c>
      <c r="D14" s="3"/>
    </row>
    <row r="15" customFormat="false" ht="15" hidden="false" customHeight="false" outlineLevel="0" collapsed="false">
      <c r="B15" s="7" t="s">
        <v>99</v>
      </c>
      <c r="C15" s="17" t="s">
        <v>105</v>
      </c>
      <c r="D15" s="3"/>
    </row>
    <row r="17" customFormat="false" ht="15" hidden="false" customHeight="false" outlineLevel="0" collapsed="false">
      <c r="B17" s="4" t="s">
        <v>617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customFormat="false" ht="15" hidden="false" customHeight="false" outlineLevel="0" collapsed="false">
      <c r="B18" s="7" t="s">
        <v>618</v>
      </c>
      <c r="C18" s="27" t="n">
        <v>40</v>
      </c>
      <c r="D18" s="3" t="s">
        <v>619</v>
      </c>
    </row>
    <row r="19" customFormat="false" ht="15" hidden="false" customHeight="false" outlineLevel="0" collapsed="false">
      <c r="B19" s="7" t="s">
        <v>359</v>
      </c>
      <c r="C19" s="17" t="s">
        <v>390</v>
      </c>
      <c r="D19" s="3" t="s">
        <v>619</v>
      </c>
    </row>
    <row r="20" customFormat="false" ht="15" hidden="false" customHeight="false" outlineLevel="0" collapsed="false">
      <c r="B20" s="7" t="s">
        <v>620</v>
      </c>
      <c r="C20" s="26" t="n">
        <v>1</v>
      </c>
      <c r="D20" s="3" t="s">
        <v>621</v>
      </c>
    </row>
    <row r="21" customFormat="false" ht="15" hidden="false" customHeight="false" outlineLevel="0" collapsed="false">
      <c r="B21" s="7" t="s">
        <v>392</v>
      </c>
      <c r="C21" s="17" t="s">
        <v>383</v>
      </c>
      <c r="D21" s="3" t="s">
        <v>619</v>
      </c>
    </row>
    <row r="23" customFormat="false" ht="15" hidden="false" customHeight="false" outlineLevel="0" collapsed="false">
      <c r="B23" s="4" t="s">
        <v>622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customFormat="false" ht="31.5" hidden="false" customHeight="true" outlineLevel="0" collapsed="false">
      <c r="B24" s="6" t="s">
        <v>623</v>
      </c>
      <c r="C24" s="6" t="s">
        <v>624</v>
      </c>
      <c r="D24" s="6" t="s">
        <v>302</v>
      </c>
      <c r="E24" s="6" t="s">
        <v>625</v>
      </c>
      <c r="F24" s="6" t="s">
        <v>37</v>
      </c>
      <c r="G24" s="6" t="s">
        <v>303</v>
      </c>
      <c r="H24" s="6" t="s">
        <v>626</v>
      </c>
      <c r="I24" s="6" t="s">
        <v>627</v>
      </c>
      <c r="J24" s="6" t="s">
        <v>628</v>
      </c>
      <c r="K24" s="6" t="s">
        <v>629</v>
      </c>
      <c r="L24" s="6" t="s">
        <v>630</v>
      </c>
      <c r="M24" s="6" t="s">
        <v>543</v>
      </c>
    </row>
    <row r="25" customFormat="false" ht="15" hidden="false" customHeight="false" outlineLevel="0" collapsed="false">
      <c r="B25" s="16" t="s">
        <v>631</v>
      </c>
      <c r="C25" s="17" t="s">
        <v>632</v>
      </c>
      <c r="D25" s="17" t="s">
        <v>320</v>
      </c>
      <c r="E25" s="27" t="n">
        <v>38</v>
      </c>
      <c r="F25" s="7" t="str">
        <f aca="false">IF(C25="Sim",INDEX(Exp_Band,MATCH(E25,Exp_Min,1)),"")</f>
        <v>36-50</v>
      </c>
      <c r="G25" s="7" t="str">
        <f aca="false">IF(C25="Sim",D25&amp;"|"&amp;F25,"")</f>
        <v>M|36-50</v>
      </c>
      <c r="H25" s="17" t="s">
        <v>544</v>
      </c>
      <c r="I25" s="20" t="n">
        <f aca="false">IF(C25&lt;&gt;"Sim",0,IF(AND($C$5="SAG",$C$19="Obrigatória"),0,INDEX(Clin_Agr,MATCH(H25,Clin_Nome,0))))</f>
        <v>0</v>
      </c>
      <c r="J25" s="20" t="n">
        <f aca="false">IF(AND(C25="Sim",$C$5="SAU"),INDEX(AgeAd_Agr,MATCH(E25,AgeAd_Min,1)),0)</f>
        <v>0</v>
      </c>
      <c r="K25" s="18" t="n">
        <f aca="false">IF(C25="Sim",SUMPRODUCT($G$35:$G$51,$H$35:$H$51,INDEX(RelMatrix,0,MATCH(G25,Rel_Keys,0))),0)</f>
        <v>529929.915719182</v>
      </c>
      <c r="L25" s="14" t="n">
        <f aca="false">K25*(1+I25)*(1+J25)</f>
        <v>529929.915719182</v>
      </c>
      <c r="M25" s="32" t="str">
        <f aca="false">IF(C25&lt;&gt;"Sim","",IF(AND($C$5="SAG",$C$19="Obrigatória"),"Aceite — adesão obrigatória, sem selecção médica",IF(H25&lt;&gt;"Nenhuma",INDEX(Clin_Dec,MATCH(H25,Clin_Nome,0)),IF($C$5="SAU",INDEX(AgeAd_Dec,MATCH(E25,AgeAd_Min,1)),"Aceitação normal"))))</f>
        <v>Aceitação normal</v>
      </c>
    </row>
    <row r="26" customFormat="false" ht="15" hidden="false" customHeight="false" outlineLevel="0" collapsed="false">
      <c r="B26" s="16" t="s">
        <v>633</v>
      </c>
      <c r="C26" s="17" t="s">
        <v>632</v>
      </c>
      <c r="D26" s="17" t="s">
        <v>321</v>
      </c>
      <c r="E26" s="27" t="n">
        <v>35</v>
      </c>
      <c r="F26" s="9" t="str">
        <f aca="false">IF(C26="Sim",INDEX(Exp_Band,MATCH(E26,Exp_Min,1)),"")</f>
        <v>18-35</v>
      </c>
      <c r="G26" s="9" t="str">
        <f aca="false">IF(C26="Sim",D26&amp;"|"&amp;F26,"")</f>
        <v>F|18-35</v>
      </c>
      <c r="H26" s="17" t="s">
        <v>544</v>
      </c>
      <c r="I26" s="20" t="n">
        <f aca="false">IF(C26&lt;&gt;"Sim",0,IF(AND($C$5="SAG",$C$19="Obrigatória"),0,INDEX(Clin_Agr,MATCH(H26,Clin_Nome,0))))</f>
        <v>0</v>
      </c>
      <c r="J26" s="20" t="n">
        <f aca="false">IF(AND(C26="Sim",$C$5="SAU"),INDEX(AgeAd_Agr,MATCH(E26,AgeAd_Min,1)),0)</f>
        <v>0</v>
      </c>
      <c r="K26" s="18" t="n">
        <f aca="false">IF(C26="Sim",SUMPRODUCT($G$35:$G$51,$H$35:$H$51,INDEX(RelMatrix,0,MATCH(G26,Rel_Keys,0))),0)</f>
        <v>566490.738052358</v>
      </c>
      <c r="L26" s="14" t="n">
        <f aca="false">K26*(1+I26)*(1+J26)</f>
        <v>566490.738052358</v>
      </c>
      <c r="M26" s="32" t="str">
        <f aca="false">IF(C26&lt;&gt;"Sim","",IF(AND($C$5="SAG",$C$19="Obrigatória"),"Aceite — adesão obrigatória, sem selecção médica",IF(H26&lt;&gt;"Nenhuma",INDEX(Clin_Dec,MATCH(H26,Clin_Nome,0)),IF($C$5="SAU",INDEX(AgeAd_Dec,MATCH(E26,AgeAd_Min,1)),"Aceitação normal"))))</f>
        <v>Aceitação normal</v>
      </c>
    </row>
    <row r="27" customFormat="false" ht="15" hidden="false" customHeight="false" outlineLevel="0" collapsed="false">
      <c r="B27" s="16" t="s">
        <v>634</v>
      </c>
      <c r="C27" s="17" t="s">
        <v>632</v>
      </c>
      <c r="D27" s="17" t="s">
        <v>320</v>
      </c>
      <c r="E27" s="27" t="n">
        <v>8</v>
      </c>
      <c r="F27" s="7" t="str">
        <f aca="false">IF(C27="Sim",INDEX(Exp_Band,MATCH(E27,Exp_Min,1)),"")</f>
        <v>0-17</v>
      </c>
      <c r="G27" s="7" t="str">
        <f aca="false">IF(C27="Sim",D27&amp;"|"&amp;F27,"")</f>
        <v>M|0-17</v>
      </c>
      <c r="H27" s="17" t="s">
        <v>544</v>
      </c>
      <c r="I27" s="20" t="n">
        <f aca="false">IF(C27&lt;&gt;"Sim",0,IF(AND($C$5="SAG",$C$19="Obrigatória"),0,INDEX(Clin_Agr,MATCH(H27,Clin_Nome,0))))</f>
        <v>0</v>
      </c>
      <c r="J27" s="20" t="n">
        <f aca="false">IF(AND(C27="Sim",$C$5="SAU"),INDEX(AgeAd_Agr,MATCH(E27,AgeAd_Min,1)),0)</f>
        <v>0</v>
      </c>
      <c r="K27" s="18" t="n">
        <f aca="false">IF(C27="Sim",SUMPRODUCT($G$35:$G$51,$H$35:$H$51,INDEX(RelMatrix,0,MATCH(G27,Rel_Keys,0))),0)</f>
        <v>328162.35315761</v>
      </c>
      <c r="L27" s="14" t="n">
        <f aca="false">K27*(1+I27)*(1+J27)</f>
        <v>328162.35315761</v>
      </c>
      <c r="M27" s="32" t="str">
        <f aca="false">IF(C27&lt;&gt;"Sim","",IF(AND($C$5="SAG",$C$19="Obrigatória"),"Aceite — adesão obrigatória, sem selecção médica",IF(H27&lt;&gt;"Nenhuma",INDEX(Clin_Dec,MATCH(H27,Clin_Nome,0)),IF($C$5="SAU",INDEX(AgeAd_Dec,MATCH(E27,AgeAd_Min,1)),"Aceitação normal"))))</f>
        <v>Aceitação normal</v>
      </c>
    </row>
    <row r="28" customFormat="false" ht="15" hidden="false" customHeight="false" outlineLevel="0" collapsed="false">
      <c r="B28" s="16" t="s">
        <v>635</v>
      </c>
      <c r="C28" s="17" t="s">
        <v>632</v>
      </c>
      <c r="D28" s="17" t="s">
        <v>321</v>
      </c>
      <c r="E28" s="27" t="n">
        <v>5</v>
      </c>
      <c r="F28" s="9" t="str">
        <f aca="false">IF(C28="Sim",INDEX(Exp_Band,MATCH(E28,Exp_Min,1)),"")</f>
        <v>0-17</v>
      </c>
      <c r="G28" s="9" t="str">
        <f aca="false">IF(C28="Sim",D28&amp;"|"&amp;F28,"")</f>
        <v>F|0-17</v>
      </c>
      <c r="H28" s="17" t="s">
        <v>544</v>
      </c>
      <c r="I28" s="20" t="n">
        <f aca="false">IF(C28&lt;&gt;"Sim",0,IF(AND($C$5="SAG",$C$19="Obrigatória"),0,INDEX(Clin_Agr,MATCH(H28,Clin_Nome,0))))</f>
        <v>0</v>
      </c>
      <c r="J28" s="20" t="n">
        <f aca="false">IF(AND(C28="Sim",$C$5="SAU"),INDEX(AgeAd_Agr,MATCH(E28,AgeAd_Min,1)),0)</f>
        <v>0</v>
      </c>
      <c r="K28" s="18" t="n">
        <f aca="false">IF(C28="Sim",SUMPRODUCT($G$35:$G$51,$H$35:$H$51,INDEX(RelMatrix,0,MATCH(G28,Rel_Keys,0))),0)</f>
        <v>320288.143998289</v>
      </c>
      <c r="L28" s="14" t="n">
        <f aca="false">K28*(1+I28)*(1+J28)</f>
        <v>320288.143998289</v>
      </c>
      <c r="M28" s="32" t="str">
        <f aca="false">IF(C28&lt;&gt;"Sim","",IF(AND($C$5="SAG",$C$19="Obrigatória"),"Aceite — adesão obrigatória, sem selecção médica",IF(H28&lt;&gt;"Nenhuma",INDEX(Clin_Dec,MATCH(H28,Clin_Nome,0)),IF($C$5="SAU",INDEX(AgeAd_Dec,MATCH(E28,AgeAd_Min,1)),"Aceitação normal"))))</f>
        <v>Aceitação normal</v>
      </c>
    </row>
    <row r="29" customFormat="false" ht="15" hidden="false" customHeight="false" outlineLevel="0" collapsed="false">
      <c r="B29" s="16" t="s">
        <v>636</v>
      </c>
      <c r="C29" s="17" t="s">
        <v>616</v>
      </c>
      <c r="D29" s="17" t="s">
        <v>320</v>
      </c>
      <c r="E29" s="27" t="n">
        <v>3</v>
      </c>
      <c r="F29" s="7" t="str">
        <f aca="false">IF(C29="Sim",INDEX(Exp_Band,MATCH(E29,Exp_Min,1)),"")</f>
        <v/>
      </c>
      <c r="G29" s="7" t="str">
        <f aca="false">IF(C29="Sim",D29&amp;"|"&amp;F29,"")</f>
        <v/>
      </c>
      <c r="H29" s="17" t="s">
        <v>544</v>
      </c>
      <c r="I29" s="20" t="n">
        <f aca="false">IF(C29&lt;&gt;"Sim",0,IF(AND($C$5="SAG",$C$19="Obrigatória"),0,INDEX(Clin_Agr,MATCH(H29,Clin_Nome,0))))</f>
        <v>0</v>
      </c>
      <c r="J29" s="20" t="n">
        <f aca="false">IF(AND(C29="Sim",$C$5="SAU"),INDEX(AgeAd_Agr,MATCH(E29,AgeAd_Min,1)),0)</f>
        <v>0</v>
      </c>
      <c r="K29" s="18" t="n">
        <f aca="false">IF(C29="Sim",SUMPRODUCT($G$35:$G$51,$H$35:$H$51,INDEX(RelMatrix,0,MATCH(G29,Rel_Keys,0))),0)</f>
        <v>0</v>
      </c>
      <c r="L29" s="14" t="n">
        <f aca="false">K29*(1+I29)*(1+J29)</f>
        <v>0</v>
      </c>
      <c r="M29" s="32" t="str">
        <f aca="false">IF(C29&lt;&gt;"Sim","",IF(AND($C$5="SAG",$C$19="Obrigatória"),"Aceite — adesão obrigatória, sem selecção médica",IF(H29&lt;&gt;"Nenhuma",INDEX(Clin_Dec,MATCH(H29,Clin_Nome,0)),IF($C$5="SAU",INDEX(AgeAd_Dec,MATCH(E29,AgeAd_Min,1)),"Aceitação normal"))))</f>
        <v/>
      </c>
    </row>
    <row r="30" customFormat="false" ht="15" hidden="false" customHeight="false" outlineLevel="0" collapsed="false">
      <c r="B30" s="16" t="s">
        <v>637</v>
      </c>
      <c r="C30" s="17" t="s">
        <v>616</v>
      </c>
      <c r="D30" s="17" t="s">
        <v>321</v>
      </c>
      <c r="E30" s="27" t="n">
        <v>1</v>
      </c>
      <c r="F30" s="9" t="str">
        <f aca="false">IF(C30="Sim",INDEX(Exp_Band,MATCH(E30,Exp_Min,1)),"")</f>
        <v/>
      </c>
      <c r="G30" s="9" t="str">
        <f aca="false">IF(C30="Sim",D30&amp;"|"&amp;F30,"")</f>
        <v/>
      </c>
      <c r="H30" s="17" t="s">
        <v>544</v>
      </c>
      <c r="I30" s="20" t="n">
        <f aca="false">IF(C30&lt;&gt;"Sim",0,IF(AND($C$5="SAG",$C$19="Obrigatória"),0,INDEX(Clin_Agr,MATCH(H30,Clin_Nome,0))))</f>
        <v>0</v>
      </c>
      <c r="J30" s="20" t="n">
        <f aca="false">IF(AND(C30="Sim",$C$5="SAU"),INDEX(AgeAd_Agr,MATCH(E30,AgeAd_Min,1)),0)</f>
        <v>0</v>
      </c>
      <c r="K30" s="18" t="n">
        <f aca="false">IF(C30="Sim",SUMPRODUCT($G$35:$G$51,$H$35:$H$51,INDEX(RelMatrix,0,MATCH(G30,Rel_Keys,0))),0)</f>
        <v>0</v>
      </c>
      <c r="L30" s="14" t="n">
        <f aca="false">K30*(1+I30)*(1+J30)</f>
        <v>0</v>
      </c>
      <c r="M30" s="32" t="str">
        <f aca="false">IF(C30&lt;&gt;"Sim","",IF(AND($C$5="SAG",$C$19="Obrigatória"),"Aceite — adesão obrigatória, sem selecção médica",IF(H30&lt;&gt;"Nenhuma",INDEX(Clin_Dec,MATCH(H30,Clin_Nome,0)),IF($C$5="SAU",INDEX(AgeAd_Dec,MATCH(E30,AgeAd_Min,1)),"Aceitação normal"))))</f>
        <v/>
      </c>
    </row>
    <row r="31" customFormat="false" ht="15" hidden="false" customHeight="false" outlineLevel="0" collapsed="false">
      <c r="B31" s="16" t="s">
        <v>115</v>
      </c>
      <c r="C31" s="31" t="n">
        <f aca="false">COUNTIF(C25:C30,"Sim")</f>
        <v>4</v>
      </c>
      <c r="K31" s="14" t="n">
        <f aca="false">SUM(K25:K30)</f>
        <v>1744871.15092744</v>
      </c>
      <c r="L31" s="14" t="n">
        <f aca="false">SUM(L25:L30)</f>
        <v>1744871.15092744</v>
      </c>
    </row>
    <row r="33" customFormat="false" ht="15" hidden="false" customHeight="false" outlineLevel="0" collapsed="false">
      <c r="B33" s="4" t="s">
        <v>638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customFormat="false" ht="31.5" hidden="false" customHeight="true" outlineLevel="0" collapsed="false">
      <c r="B34" s="6" t="s">
        <v>118</v>
      </c>
      <c r="C34" s="6" t="s">
        <v>45</v>
      </c>
      <c r="D34" s="6" t="s">
        <v>119</v>
      </c>
      <c r="E34" s="6" t="s">
        <v>639</v>
      </c>
      <c r="F34" s="6" t="s">
        <v>640</v>
      </c>
      <c r="G34" s="6" t="s">
        <v>641</v>
      </c>
      <c r="H34" s="6" t="s">
        <v>642</v>
      </c>
      <c r="I34" s="6" t="s">
        <v>643</v>
      </c>
    </row>
    <row r="35" customFormat="false" ht="15" hidden="false" customHeight="false" outlineLevel="0" collapsed="false">
      <c r="B35" s="32" t="str">
        <f aca="false">INDEX(Cov_Nome,MATCH(C35,Cov_Cod,0))</f>
        <v>Internamento Hospitalar Médico (incl. malária grave)</v>
      </c>
      <c r="C35" s="16" t="s">
        <v>132</v>
      </c>
      <c r="D35" s="7" t="str">
        <f aca="false">INDEX(Cov_Grupo,MATCH(C35,Cov_Cod,0))</f>
        <v>Principal</v>
      </c>
      <c r="E35" s="60" t="str">
        <f aca="false">IF($C$5="SAU",INDEX(SAU_Status,MATCH($C$7&amp;"|"&amp;C35,SAU_Key,0)),INDEX(SAG_Status,MATCH($C$7&amp;"|"&amp;C35,SAG_Key,0)))</f>
        <v>B</v>
      </c>
      <c r="F35" s="37" t="s">
        <v>616</v>
      </c>
      <c r="G35" s="29" t="n">
        <f aca="false">IF(E35="B",1,IF(AND(E35="O",F35="Sim"),1,0))</f>
        <v>1</v>
      </c>
      <c r="H35" s="18" t="n">
        <f aca="false">IF($C$5="SAU",INDEX(SAU_PP,MATCH($C$7&amp;"|"&amp;C35,SAU_Key,0)),INDEX(SAG_PP,MATCH($C$7&amp;"|"&amp;C35,SAG_Key,0)))</f>
        <v>45086.0075806254</v>
      </c>
      <c r="I35" s="18" t="n">
        <f aca="false">IF($C$5="SAU",INDEX(SAU_Cap,MATCH($C$7&amp;"|"&amp;C35,SAU_Key,0)),INDEX(SAG_Cap,MATCH($C$7&amp;"|"&amp;C35,SAG_Key,0)))</f>
        <v>15000000</v>
      </c>
    </row>
    <row r="36" customFormat="false" ht="15" hidden="false" customHeight="false" outlineLevel="0" collapsed="false">
      <c r="B36" s="38" t="str">
        <f aca="false">INDEX(Cov_Nome,MATCH(C36,Cov_Cod,0))</f>
        <v>Cirurgia (com internamento e de ambulatório)</v>
      </c>
      <c r="C36" s="21" t="s">
        <v>139</v>
      </c>
      <c r="D36" s="9" t="str">
        <f aca="false">INDEX(Cov_Grupo,MATCH(C36,Cov_Cod,0))</f>
        <v>Principal</v>
      </c>
      <c r="E36" s="60" t="str">
        <f aca="false">IF($C$5="SAU",INDEX(SAU_Status,MATCH($C$7&amp;"|"&amp;C36,SAU_Key,0)),INDEX(SAG_Status,MATCH($C$7&amp;"|"&amp;C36,SAG_Key,0)))</f>
        <v>B</v>
      </c>
      <c r="F36" s="37" t="s">
        <v>616</v>
      </c>
      <c r="G36" s="29" t="n">
        <f aca="false">IF(E36="B",1,IF(AND(E36="O",F36="Sim"),1,0))</f>
        <v>1</v>
      </c>
      <c r="H36" s="18" t="n">
        <f aca="false">IF($C$5="SAU",INDEX(SAU_PP,MATCH($C$7&amp;"|"&amp;C36,SAU_Key,0)),INDEX(SAG_PP,MATCH($C$7&amp;"|"&amp;C36,SAG_Key,0)))</f>
        <v>55948.1528323105</v>
      </c>
      <c r="I36" s="18" t="n">
        <f aca="false">IF($C$5="SAU",INDEX(SAU_Cap,MATCH($C$7&amp;"|"&amp;C36,SAU_Key,0)),INDEX(SAG_Cap,MATCH($C$7&amp;"|"&amp;C36,SAG_Key,0)))</f>
        <v>15000000</v>
      </c>
    </row>
    <row r="37" customFormat="false" ht="15" hidden="false" customHeight="false" outlineLevel="0" collapsed="false">
      <c r="B37" s="32" t="str">
        <f aca="false">INDEX(Cov_Nome,MATCH(C37,Cov_Cod,0))</f>
        <v>Cuidados Intensivos (UCI)</v>
      </c>
      <c r="C37" s="16" t="s">
        <v>143</v>
      </c>
      <c r="D37" s="7" t="str">
        <f aca="false">INDEX(Cov_Grupo,MATCH(C37,Cov_Cod,0))</f>
        <v>Principal</v>
      </c>
      <c r="E37" s="60" t="str">
        <f aca="false">IF($C$5="SAU",INDEX(SAU_Status,MATCH($C$7&amp;"|"&amp;C37,SAU_Key,0)),INDEX(SAG_Status,MATCH($C$7&amp;"|"&amp;C37,SAG_Key,0)))</f>
        <v>B</v>
      </c>
      <c r="F37" s="37" t="s">
        <v>616</v>
      </c>
      <c r="G37" s="29" t="n">
        <f aca="false">IF(E37="B",1,IF(AND(E37="O",F37="Sim"),1,0))</f>
        <v>1</v>
      </c>
      <c r="H37" s="18" t="n">
        <f aca="false">IF($C$5="SAU",INDEX(SAU_PP,MATCH($C$7&amp;"|"&amp;C37,SAU_Key,0)),INDEX(SAG_PP,MATCH($C$7&amp;"|"&amp;C37,SAG_Key,0)))</f>
        <v>9433.77361409313</v>
      </c>
      <c r="I37" s="18" t="n">
        <f aca="false">IF($C$5="SAU",INDEX(SAU_Cap,MATCH($C$7&amp;"|"&amp;C37,SAU_Key,0)),INDEX(SAG_Cap,MATCH($C$7&amp;"|"&amp;C37,SAG_Key,0)))</f>
        <v>6000000</v>
      </c>
    </row>
    <row r="38" customFormat="false" ht="15" hidden="false" customHeight="false" outlineLevel="0" collapsed="false">
      <c r="B38" s="38" t="str">
        <f aca="false">INDEX(Cov_Nome,MATCH(C38,Cov_Cod,0))</f>
        <v>Consultas de Clínica Geral e Especialidade (incl. teleconsulta)</v>
      </c>
      <c r="C38" s="21" t="s">
        <v>147</v>
      </c>
      <c r="D38" s="9" t="str">
        <f aca="false">INDEX(Cov_Grupo,MATCH(C38,Cov_Cod,0))</f>
        <v>Principal</v>
      </c>
      <c r="E38" s="60" t="str">
        <f aca="false">IF($C$5="SAU",INDEX(SAU_Status,MATCH($C$7&amp;"|"&amp;C38,SAU_Key,0)),INDEX(SAG_Status,MATCH($C$7&amp;"|"&amp;C38,SAG_Key,0)))</f>
        <v>B</v>
      </c>
      <c r="F38" s="37" t="s">
        <v>616</v>
      </c>
      <c r="G38" s="29" t="n">
        <f aca="false">IF(E38="B",1,IF(AND(E38="O",F38="Sim"),1,0))</f>
        <v>1</v>
      </c>
      <c r="H38" s="18" t="n">
        <f aca="false">IF($C$5="SAU",INDEX(SAU_PP,MATCH($C$7&amp;"|"&amp;C38,SAU_Key,0)),INDEX(SAG_PP,MATCH($C$7&amp;"|"&amp;C38,SAG_Key,0)))</f>
        <v>73768.4260771812</v>
      </c>
      <c r="I38" s="18" t="n">
        <f aca="false">IF($C$5="SAU",INDEX(SAU_Cap,MATCH($C$7&amp;"|"&amp;C38,SAU_Key,0)),INDEX(SAG_Cap,MATCH($C$7&amp;"|"&amp;C38,SAG_Key,0)))</f>
        <v>3000000</v>
      </c>
    </row>
    <row r="39" customFormat="false" ht="15" hidden="false" customHeight="false" outlineLevel="0" collapsed="false">
      <c r="B39" s="32" t="str">
        <f aca="false">INDEX(Cov_Nome,MATCH(C39,Cov_Cod,0))</f>
        <v>MCDT — Exames, Análises e Imagiologia</v>
      </c>
      <c r="C39" s="16" t="s">
        <v>151</v>
      </c>
      <c r="D39" s="7" t="str">
        <f aca="false">INDEX(Cov_Grupo,MATCH(C39,Cov_Cod,0))</f>
        <v>Principal</v>
      </c>
      <c r="E39" s="60" t="str">
        <f aca="false">IF($C$5="SAU",INDEX(SAU_Status,MATCH($C$7&amp;"|"&amp;C39,SAU_Key,0)),INDEX(SAG_Status,MATCH($C$7&amp;"|"&amp;C39,SAG_Key,0)))</f>
        <v>B</v>
      </c>
      <c r="F39" s="37" t="s">
        <v>616</v>
      </c>
      <c r="G39" s="29" t="n">
        <f aca="false">IF(E39="B",1,IF(AND(E39="O",F39="Sim"),1,0))</f>
        <v>1</v>
      </c>
      <c r="H39" s="18" t="n">
        <f aca="false">IF($C$5="SAU",INDEX(SAU_PP,MATCH($C$7&amp;"|"&amp;C39,SAU_Key,0)),INDEX(SAG_PP,MATCH($C$7&amp;"|"&amp;C39,SAG_Key,0)))</f>
        <v>65563.7482625543</v>
      </c>
      <c r="I39" s="18" t="n">
        <f aca="false">IF($C$5="SAU",INDEX(SAU_Cap,MATCH($C$7&amp;"|"&amp;C39,SAU_Key,0)),INDEX(SAG_Cap,MATCH($C$7&amp;"|"&amp;C39,SAG_Key,0)))</f>
        <v>3000000</v>
      </c>
    </row>
    <row r="40" customFormat="false" ht="15" hidden="false" customHeight="false" outlineLevel="0" collapsed="false">
      <c r="B40" s="38" t="str">
        <f aca="false">INDEX(Cov_Nome,MATCH(C40,Cov_Cod,0))</f>
        <v>Malária e Doenças Endémicas (ambulatório)</v>
      </c>
      <c r="C40" s="21" t="s">
        <v>155</v>
      </c>
      <c r="D40" s="9" t="str">
        <f aca="false">INDEX(Cov_Grupo,MATCH(C40,Cov_Cod,0))</f>
        <v>Principal</v>
      </c>
      <c r="E40" s="60" t="str">
        <f aca="false">IF($C$5="SAU",INDEX(SAU_Status,MATCH($C$7&amp;"|"&amp;C40,SAU_Key,0)),INDEX(SAG_Status,MATCH($C$7&amp;"|"&amp;C40,SAG_Key,0)))</f>
        <v>B</v>
      </c>
      <c r="F40" s="37" t="s">
        <v>616</v>
      </c>
      <c r="G40" s="29" t="n">
        <f aca="false">IF(E40="B",1,IF(AND(E40="O",F40="Sim"),1,0))</f>
        <v>1</v>
      </c>
      <c r="H40" s="18" t="n">
        <f aca="false">IF($C$5="SAU",INDEX(SAU_PP,MATCH($C$7&amp;"|"&amp;C40,SAU_Key,0)),INDEX(SAG_PP,MATCH($C$7&amp;"|"&amp;C40,SAG_Key,0)))</f>
        <v>12945.0242686446</v>
      </c>
      <c r="I40" s="18" t="n">
        <f aca="false">IF($C$5="SAU",INDEX(SAU_Cap,MATCH($C$7&amp;"|"&amp;C40,SAU_Key,0)),INDEX(SAG_Cap,MATCH($C$7&amp;"|"&amp;C40,SAG_Key,0)))</f>
        <v>3000000</v>
      </c>
    </row>
    <row r="41" customFormat="false" ht="15" hidden="false" customHeight="false" outlineLevel="0" collapsed="false">
      <c r="B41" s="32" t="str">
        <f aca="false">INDEX(Cov_Nome,MATCH(C41,Cov_Cod,0))</f>
        <v>Maternidade e Parto (Normal e Cesariana)</v>
      </c>
      <c r="C41" s="16" t="s">
        <v>159</v>
      </c>
      <c r="D41" s="7" t="str">
        <f aca="false">INDEX(Cov_Grupo,MATCH(C41,Cov_Cod,0))</f>
        <v>Principal</v>
      </c>
      <c r="E41" s="60" t="str">
        <f aca="false">IF($C$5="SAU",INDEX(SAU_Status,MATCH($C$7&amp;"|"&amp;C41,SAU_Key,0)),INDEX(SAG_Status,MATCH($C$7&amp;"|"&amp;C41,SAG_Key,0)))</f>
        <v>O</v>
      </c>
      <c r="F41" s="37" t="s">
        <v>632</v>
      </c>
      <c r="G41" s="29" t="n">
        <f aca="false">IF(E41="B",1,IF(AND(E41="O",F41="Sim"),1,0))</f>
        <v>1</v>
      </c>
      <c r="H41" s="18" t="n">
        <f aca="false">IF($C$5="SAU",INDEX(SAU_PP,MATCH($C$7&amp;"|"&amp;C41,SAU_Key,0)),INDEX(SAG_PP,MATCH($C$7&amp;"|"&amp;C41,SAG_Key,0)))</f>
        <v>61100.5507271846</v>
      </c>
      <c r="I41" s="18" t="n">
        <f aca="false">IF($C$5="SAU",INDEX(SAU_Cap,MATCH($C$7&amp;"|"&amp;C41,SAU_Key,0)),INDEX(SAG_Cap,MATCH($C$7&amp;"|"&amp;C41,SAG_Key,0)))</f>
        <v>1000000</v>
      </c>
    </row>
    <row r="42" customFormat="false" ht="15" hidden="false" customHeight="false" outlineLevel="0" collapsed="false">
      <c r="B42" s="38" t="str">
        <f aca="false">INDEX(Cov_Nome,MATCH(C42,Cov_Cod,0))</f>
        <v>Urgência Hospitalar</v>
      </c>
      <c r="C42" s="21" t="s">
        <v>164</v>
      </c>
      <c r="D42" s="9" t="str">
        <f aca="false">INDEX(Cov_Grupo,MATCH(C42,Cov_Cod,0))</f>
        <v>Principal</v>
      </c>
      <c r="E42" s="60" t="str">
        <f aca="false">IF($C$5="SAU",INDEX(SAU_Status,MATCH($C$7&amp;"|"&amp;C42,SAU_Key,0)),INDEX(SAG_Status,MATCH($C$7&amp;"|"&amp;C42,SAG_Key,0)))</f>
        <v>B</v>
      </c>
      <c r="F42" s="37" t="s">
        <v>616</v>
      </c>
      <c r="G42" s="29" t="n">
        <f aca="false">IF(E42="B",1,IF(AND(E42="O",F42="Sim"),1,0))</f>
        <v>1</v>
      </c>
      <c r="H42" s="18" t="n">
        <f aca="false">IF($C$5="SAU",INDEX(SAU_PP,MATCH($C$7&amp;"|"&amp;C42,SAU_Key,0)),INDEX(SAG_PP,MATCH($C$7&amp;"|"&amp;C42,SAG_Key,0)))</f>
        <v>21403.3495407515</v>
      </c>
      <c r="I42" s="18" t="n">
        <f aca="false">IF($C$5="SAU",INDEX(SAU_Cap,MATCH($C$7&amp;"|"&amp;C42,SAU_Key,0)),INDEX(SAG_Cap,MATCH($C$7&amp;"|"&amp;C42,SAG_Key,0)))</f>
        <v>500000</v>
      </c>
    </row>
    <row r="43" customFormat="false" ht="15" hidden="false" customHeight="false" outlineLevel="0" collapsed="false">
      <c r="B43" s="32" t="str">
        <f aca="false">INDEX(Cov_Nome,MATCH(C43,Cov_Cod,0))</f>
        <v>Transporte em Ambulância / Emergência Médica</v>
      </c>
      <c r="C43" s="16" t="s">
        <v>167</v>
      </c>
      <c r="D43" s="7" t="str">
        <f aca="false">INDEX(Cov_Grupo,MATCH(C43,Cov_Cod,0))</f>
        <v>Principal</v>
      </c>
      <c r="E43" s="60" t="str">
        <f aca="false">IF($C$5="SAU",INDEX(SAU_Status,MATCH($C$7&amp;"|"&amp;C43,SAU_Key,0)),INDEX(SAG_Status,MATCH($C$7&amp;"|"&amp;C43,SAG_Key,0)))</f>
        <v>B</v>
      </c>
      <c r="F43" s="37" t="s">
        <v>616</v>
      </c>
      <c r="G43" s="29" t="n">
        <f aca="false">IF(E43="B",1,IF(AND(E43="O",F43="Sim"),1,0))</f>
        <v>1</v>
      </c>
      <c r="H43" s="18" t="n">
        <f aca="false">IF($C$5="SAU",INDEX(SAU_PP,MATCH($C$7&amp;"|"&amp;C43,SAU_Key,0)),INDEX(SAG_PP,MATCH($C$7&amp;"|"&amp;C43,SAG_Key,0)))</f>
        <v>1608.53851750102</v>
      </c>
      <c r="I43" s="18" t="n">
        <f aca="false">IF($C$5="SAU",INDEX(SAU_Cap,MATCH($C$7&amp;"|"&amp;C43,SAU_Key,0)),INDEX(SAG_Cap,MATCH($C$7&amp;"|"&amp;C43,SAG_Key,0)))</f>
        <v>300000</v>
      </c>
    </row>
    <row r="44" customFormat="false" ht="15" hidden="false" customHeight="false" outlineLevel="0" collapsed="false">
      <c r="B44" s="38" t="str">
        <f aca="false">INDEX(Cov_Nome,MATCH(C44,Cov_Cod,0))</f>
        <v>Medicamentos em Ambulatório (Farmácia)</v>
      </c>
      <c r="C44" s="21" t="s">
        <v>172</v>
      </c>
      <c r="D44" s="9" t="str">
        <f aca="false">INDEX(Cov_Grupo,MATCH(C44,Cov_Cod,0))</f>
        <v>Principal</v>
      </c>
      <c r="E44" s="60" t="str">
        <f aca="false">IF($C$5="SAU",INDEX(SAU_Status,MATCH($C$7&amp;"|"&amp;C44,SAU_Key,0)),INDEX(SAG_Status,MATCH($C$7&amp;"|"&amp;C44,SAG_Key,0)))</f>
        <v>O</v>
      </c>
      <c r="F44" s="37" t="s">
        <v>632</v>
      </c>
      <c r="G44" s="29" t="n">
        <f aca="false">IF(E44="B",1,IF(AND(E44="O",F44="Sim"),1,0))</f>
        <v>1</v>
      </c>
      <c r="H44" s="18" t="n">
        <f aca="false">IF($C$5="SAU",INDEX(SAU_PP,MATCH($C$7&amp;"|"&amp;C44,SAU_Key,0)),INDEX(SAG_PP,MATCH($C$7&amp;"|"&amp;C44,SAG_Key,0)))</f>
        <v>67955.327301025</v>
      </c>
      <c r="I44" s="18" t="n">
        <f aca="false">IF($C$5="SAU",INDEX(SAU_Cap,MATCH($C$7&amp;"|"&amp;C44,SAU_Key,0)),INDEX(SAG_Cap,MATCH($C$7&amp;"|"&amp;C44,SAG_Key,0)))</f>
        <v>400000</v>
      </c>
    </row>
    <row r="45" customFormat="false" ht="15" hidden="false" customHeight="false" outlineLevel="0" collapsed="false">
      <c r="B45" s="32" t="str">
        <f aca="false">INDEX(Cov_Nome,MATCH(C45,Cov_Cod,0))</f>
        <v>Estomatologia (tratamentos)</v>
      </c>
      <c r="C45" s="16" t="s">
        <v>176</v>
      </c>
      <c r="D45" s="7" t="str">
        <f aca="false">INDEX(Cov_Grupo,MATCH(C45,Cov_Cod,0))</f>
        <v>Extensão</v>
      </c>
      <c r="E45" s="60" t="str">
        <f aca="false">IF($C$5="SAU",INDEX(SAU_Status,MATCH($C$7&amp;"|"&amp;C45,SAU_Key,0)),INDEX(SAG_Status,MATCH($C$7&amp;"|"&amp;C45,SAG_Key,0)))</f>
        <v>O</v>
      </c>
      <c r="F45" s="37" t="s">
        <v>632</v>
      </c>
      <c r="G45" s="29" t="n">
        <f aca="false">IF(E45="B",1,IF(AND(E45="O",F45="Sim"),1,0))</f>
        <v>1</v>
      </c>
      <c r="H45" s="18" t="n">
        <f aca="false">IF($C$5="SAU",INDEX(SAU_PP,MATCH($C$7&amp;"|"&amp;C45,SAU_Key,0)),INDEX(SAG_PP,MATCH($C$7&amp;"|"&amp;C45,SAG_Key,0)))</f>
        <v>33670.6974212297</v>
      </c>
      <c r="I45" s="18" t="n">
        <f aca="false">IF($C$5="SAU",INDEX(SAU_Cap,MATCH($C$7&amp;"|"&amp;C45,SAU_Key,0)),INDEX(SAG_Cap,MATCH($C$7&amp;"|"&amp;C45,SAG_Key,0)))</f>
        <v>250000</v>
      </c>
    </row>
    <row r="46" customFormat="false" ht="15" hidden="false" customHeight="false" outlineLevel="0" collapsed="false">
      <c r="B46" s="38" t="str">
        <f aca="false">INDEX(Cov_Nome,MATCH(C46,Cov_Cod,0))</f>
        <v>Próteses Dentárias</v>
      </c>
      <c r="C46" s="21" t="s">
        <v>180</v>
      </c>
      <c r="D46" s="9" t="str">
        <f aca="false">INDEX(Cov_Grupo,MATCH(C46,Cov_Cod,0))</f>
        <v>Extensão</v>
      </c>
      <c r="E46" s="60" t="str">
        <f aca="false">IF($C$5="SAU",INDEX(SAU_Status,MATCH($C$7&amp;"|"&amp;C46,SAU_Key,0)),INDEX(SAG_Status,MATCH($C$7&amp;"|"&amp;C46,SAG_Key,0)))</f>
        <v>O</v>
      </c>
      <c r="F46" s="37" t="s">
        <v>616</v>
      </c>
      <c r="G46" s="29" t="n">
        <f aca="false">IF(E46="B",1,IF(AND(E46="O",F46="Sim"),1,0))</f>
        <v>0</v>
      </c>
      <c r="H46" s="18" t="n">
        <f aca="false">IF($C$5="SAU",INDEX(SAU_PP,MATCH($C$7&amp;"|"&amp;C46,SAU_Key,0)),INDEX(SAG_PP,MATCH($C$7&amp;"|"&amp;C46,SAG_Key,0)))</f>
        <v>2866.79216052231</v>
      </c>
      <c r="I46" s="18" t="n">
        <f aca="false">IF($C$5="SAU",INDEX(SAU_Cap,MATCH($C$7&amp;"|"&amp;C46,SAU_Key,0)),INDEX(SAG_Cap,MATCH($C$7&amp;"|"&amp;C46,SAG_Key,0)))</f>
        <v>150000</v>
      </c>
    </row>
    <row r="47" customFormat="false" ht="15" hidden="false" customHeight="false" outlineLevel="0" collapsed="false">
      <c r="B47" s="32" t="str">
        <f aca="false">INDEX(Cov_Nome,MATCH(C47,Cov_Cod,0))</f>
        <v>Óptica — Lentes e Armações</v>
      </c>
      <c r="C47" s="16" t="s">
        <v>184</v>
      </c>
      <c r="D47" s="7" t="str">
        <f aca="false">INDEX(Cov_Grupo,MATCH(C47,Cov_Cod,0))</f>
        <v>Extensão</v>
      </c>
      <c r="E47" s="60" t="str">
        <f aca="false">IF($C$5="SAU",INDEX(SAU_Status,MATCH($C$7&amp;"|"&amp;C47,SAU_Key,0)),INDEX(SAG_Status,MATCH($C$7&amp;"|"&amp;C47,SAG_Key,0)))</f>
        <v>O</v>
      </c>
      <c r="F47" s="37" t="s">
        <v>616</v>
      </c>
      <c r="G47" s="29" t="n">
        <f aca="false">IF(E47="B",1,IF(AND(E47="O",F47="Sim"),1,0))</f>
        <v>0</v>
      </c>
      <c r="H47" s="18" t="n">
        <f aca="false">IF($C$5="SAU",INDEX(SAU_PP,MATCH($C$7&amp;"|"&amp;C47,SAU_Key,0)),INDEX(SAG_PP,MATCH($C$7&amp;"|"&amp;C47,SAG_Key,0)))</f>
        <v>18048.4529815294</v>
      </c>
      <c r="I47" s="18" t="n">
        <f aca="false">IF($C$5="SAU",INDEX(SAU_Cap,MATCH($C$7&amp;"|"&amp;C47,SAU_Key,0)),INDEX(SAG_Cap,MATCH($C$7&amp;"|"&amp;C47,SAG_Key,0)))</f>
        <v>100000</v>
      </c>
    </row>
    <row r="48" customFormat="false" ht="15" hidden="false" customHeight="false" outlineLevel="0" collapsed="false">
      <c r="B48" s="38" t="str">
        <f aca="false">INDEX(Cov_Nome,MATCH(C48,Cov_Cod,0))</f>
        <v>Medicina Preventiva e Check-up Anual</v>
      </c>
      <c r="C48" s="21" t="s">
        <v>188</v>
      </c>
      <c r="D48" s="9" t="str">
        <f aca="false">INDEX(Cov_Grupo,MATCH(C48,Cov_Cod,0))</f>
        <v>Extensão</v>
      </c>
      <c r="E48" s="60" t="str">
        <f aca="false">IF($C$5="SAU",INDEX(SAU_Status,MATCH($C$7&amp;"|"&amp;C48,SAU_Key,0)),INDEX(SAG_Status,MATCH($C$7&amp;"|"&amp;C48,SAG_Key,0)))</f>
        <v>O</v>
      </c>
      <c r="F48" s="37" t="s">
        <v>616</v>
      </c>
      <c r="G48" s="29" t="n">
        <f aca="false">IF(E48="B",1,IF(AND(E48="O",F48="Sim"),1,0))</f>
        <v>0</v>
      </c>
      <c r="H48" s="18" t="n">
        <f aca="false">IF($C$5="SAU",INDEX(SAU_PP,MATCH($C$7&amp;"|"&amp;C48,SAU_Key,0)),INDEX(SAG_PP,MATCH($C$7&amp;"|"&amp;C48,SAG_Key,0)))</f>
        <v>44221.0856433933</v>
      </c>
      <c r="I48" s="18" t="n">
        <f aca="false">IF($C$5="SAU",INDEX(SAU_Cap,MATCH($C$7&amp;"|"&amp;C48,SAU_Key,0)),INDEX(SAG_Cap,MATCH($C$7&amp;"|"&amp;C48,SAG_Key,0)))</f>
        <v>120000</v>
      </c>
    </row>
    <row r="49" customFormat="false" ht="15" hidden="false" customHeight="false" outlineLevel="0" collapsed="false">
      <c r="B49" s="32" t="str">
        <f aca="false">INDEX(Cov_Nome,MATCH(C49,Cov_Cod,0))</f>
        <v>Evacuação Médica e Cobertura no Estrangeiro</v>
      </c>
      <c r="C49" s="16" t="s">
        <v>192</v>
      </c>
      <c r="D49" s="7" t="str">
        <f aca="false">INDEX(Cov_Grupo,MATCH(C49,Cov_Cod,0))</f>
        <v>Extensão</v>
      </c>
      <c r="E49" s="60" t="str">
        <f aca="false">IF($C$5="SAU",INDEX(SAU_Status,MATCH($C$7&amp;"|"&amp;C49,SAU_Key,0)),INDEX(SAG_Status,MATCH($C$7&amp;"|"&amp;C49,SAG_Key,0)))</f>
        <v>O</v>
      </c>
      <c r="F49" s="37" t="s">
        <v>616</v>
      </c>
      <c r="G49" s="29" t="n">
        <f aca="false">IF(E49="B",1,IF(AND(E49="O",F49="Sim"),1,0))</f>
        <v>0</v>
      </c>
      <c r="H49" s="18" t="n">
        <f aca="false">IF($C$5="SAU",INDEX(SAU_PP,MATCH($C$7&amp;"|"&amp;C49,SAU_Key,0)),INDEX(SAG_PP,MATCH($C$7&amp;"|"&amp;C49,SAG_Key,0)))</f>
        <v>22149.2930435928</v>
      </c>
      <c r="I49" s="18" t="n">
        <f aca="false">IF($C$5="SAU",INDEX(SAU_Cap,MATCH($C$7&amp;"|"&amp;C49,SAU_Key,0)),INDEX(SAG_Cap,MATCH($C$7&amp;"|"&amp;C49,SAG_Key,0)))</f>
        <v>20000000</v>
      </c>
    </row>
    <row r="50" customFormat="false" ht="15" hidden="false" customHeight="false" outlineLevel="0" collapsed="false">
      <c r="B50" s="38" t="str">
        <f aca="false">INDEX(Cov_Nome,MATCH(C50,Cov_Cod,0))</f>
        <v>Doenças Graves — Oncologia</v>
      </c>
      <c r="C50" s="21" t="s">
        <v>196</v>
      </c>
      <c r="D50" s="9" t="str">
        <f aca="false">INDEX(Cov_Grupo,MATCH(C50,Cov_Cod,0))</f>
        <v>Extensão</v>
      </c>
      <c r="E50" s="60" t="str">
        <f aca="false">IF($C$5="SAU",INDEX(SAU_Status,MATCH($C$7&amp;"|"&amp;C50,SAU_Key,0)),INDEX(SAG_Status,MATCH($C$7&amp;"|"&amp;C50,SAG_Key,0)))</f>
        <v>O</v>
      </c>
      <c r="F50" s="37" t="s">
        <v>616</v>
      </c>
      <c r="G50" s="29" t="n">
        <f aca="false">IF(E50="B",1,IF(AND(E50="O",F50="Sim"),1,0))</f>
        <v>0</v>
      </c>
      <c r="H50" s="18" t="n">
        <f aca="false">IF($C$5="SAU",INDEX(SAU_PP,MATCH($C$7&amp;"|"&amp;C50,SAU_Key,0)),INDEX(SAG_PP,MATCH($C$7&amp;"|"&amp;C50,SAG_Key,0)))</f>
        <v>7756.71975918447</v>
      </c>
      <c r="I50" s="18" t="n">
        <f aca="false">IF($C$5="SAU",INDEX(SAU_Cap,MATCH($C$7&amp;"|"&amp;C50,SAU_Key,0)),INDEX(SAG_Cap,MATCH($C$7&amp;"|"&amp;C50,SAG_Key,0)))</f>
        <v>20000000</v>
      </c>
    </row>
    <row r="51" customFormat="false" ht="15" hidden="false" customHeight="false" outlineLevel="0" collapsed="false">
      <c r="B51" s="32" t="str">
        <f aca="false">INDEX(Cov_Nome,MATCH(C51,Cov_Cod,0))</f>
        <v>Doenças Crónicas — Hemodiálise</v>
      </c>
      <c r="C51" s="16" t="s">
        <v>200</v>
      </c>
      <c r="D51" s="7" t="str">
        <f aca="false">INDEX(Cov_Grupo,MATCH(C51,Cov_Cod,0))</f>
        <v>Extensão</v>
      </c>
      <c r="E51" s="60" t="str">
        <f aca="false">IF($C$5="SAU",INDEX(SAU_Status,MATCH($C$7&amp;"|"&amp;C51,SAU_Key,0)),INDEX(SAG_Status,MATCH($C$7&amp;"|"&amp;C51,SAG_Key,0)))</f>
        <v>O</v>
      </c>
      <c r="F51" s="37" t="s">
        <v>616</v>
      </c>
      <c r="G51" s="29" t="n">
        <f aca="false">IF(E51="B",1,IF(AND(E51="O",F51="Sim"),1,0))</f>
        <v>0</v>
      </c>
      <c r="H51" s="18" t="n">
        <f aca="false">IF($C$5="SAU",INDEX(SAU_PP,MATCH($C$7&amp;"|"&amp;C51,SAU_Key,0)),INDEX(SAG_PP,MATCH($C$7&amp;"|"&amp;C51,SAG_Key,0)))</f>
        <v>2863.01068053318</v>
      </c>
      <c r="I51" s="18" t="n">
        <f aca="false">IF($C$5="SAU",INDEX(SAU_Cap,MATCH($C$7&amp;"|"&amp;C51,SAU_Key,0)),INDEX(SAG_Cap,MATCH($C$7&amp;"|"&amp;C51,SAG_Key,0)))</f>
        <v>12000000</v>
      </c>
    </row>
    <row r="53" customFormat="false" ht="15" hidden="false" customHeight="false" outlineLevel="0" collapsed="false">
      <c r="B53" s="4" t="s">
        <v>644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customFormat="false" ht="31.5" hidden="false" customHeight="true" outlineLevel="0" collapsed="false">
      <c r="B54" s="6" t="s">
        <v>645</v>
      </c>
      <c r="C54" s="6" t="s">
        <v>5</v>
      </c>
      <c r="D54" s="6" t="s">
        <v>494</v>
      </c>
    </row>
    <row r="55" customFormat="false" ht="15" hidden="false" customHeight="false" outlineLevel="0" collapsed="false">
      <c r="B55" s="9" t="s">
        <v>646</v>
      </c>
      <c r="C55" s="20" t="n">
        <f aca="false">INDEX(Copay_Adj,MATCH(C9,Copay_Val,0))</f>
        <v>-0.0534651055126289</v>
      </c>
      <c r="D55" s="3" t="s">
        <v>647</v>
      </c>
    </row>
    <row r="56" customFormat="false" ht="15" hidden="false" customHeight="false" outlineLevel="0" collapsed="false">
      <c r="B56" s="7" t="s">
        <v>648</v>
      </c>
      <c r="C56" s="20" t="n">
        <f aca="false">INDEX(Comp_Adj,MATCH(C10,Comp_Val,0))</f>
        <v>-0.0325511021281925</v>
      </c>
      <c r="D56" s="3"/>
    </row>
    <row r="57" customFormat="false" ht="15" hidden="false" customHeight="false" outlineLevel="0" collapsed="false">
      <c r="B57" s="9" t="s">
        <v>649</v>
      </c>
      <c r="C57" s="20" t="n">
        <f aca="false">INDEX(FA_Adj,MATCH(C11,FA_Val,0))</f>
        <v>-0</v>
      </c>
      <c r="D57" s="3"/>
    </row>
    <row r="58" customFormat="false" ht="15" hidden="false" customHeight="false" outlineLevel="0" collapsed="false">
      <c r="B58" s="7" t="s">
        <v>650</v>
      </c>
      <c r="C58" s="20" t="n">
        <f aca="false">INDEX(FI_Adj,MATCH(C12,FI_Val,0))</f>
        <v>-0</v>
      </c>
      <c r="D58" s="3"/>
    </row>
    <row r="59" customFormat="false" ht="15" hidden="false" customHeight="false" outlineLevel="0" collapsed="false">
      <c r="B59" s="9" t="s">
        <v>651</v>
      </c>
      <c r="C59" s="20" t="n">
        <f aca="false">(1+C55)*(1+C56)*(1+C57)*(1+C58)-1</f>
        <v>-0.0842758595309853</v>
      </c>
      <c r="D59" s="3"/>
    </row>
    <row r="60" customFormat="false" ht="15" hidden="false" customHeight="false" outlineLevel="0" collapsed="false">
      <c r="B60" s="7" t="s">
        <v>592</v>
      </c>
      <c r="C60" s="40" t="n">
        <f aca="false">INDEX(Reg_F,MATCH(C8,Reg_Nome,0))</f>
        <v>1</v>
      </c>
      <c r="D60" s="3"/>
    </row>
    <row r="61" customFormat="false" ht="15" hidden="false" customHeight="false" outlineLevel="0" collapsed="false">
      <c r="B61" s="9" t="s">
        <v>652</v>
      </c>
      <c r="C61" s="20" t="n">
        <f aca="false">IF(C5="SAG",INDEX(Size_F,MATCH(C18,Size_Min,1)),0)</f>
        <v>0</v>
      </c>
      <c r="D61" s="3" t="s">
        <v>653</v>
      </c>
    </row>
    <row r="62" customFormat="false" ht="15" hidden="false" customHeight="false" outlineLevel="0" collapsed="false">
      <c r="B62" s="7" t="s">
        <v>654</v>
      </c>
      <c r="C62" s="20" t="n">
        <f aca="false">IF(C5="SAG",IF(C19="Obrigatória",adh_obrig,INDEX(Part_F,MATCH(C20,Part_Min,1))),0)</f>
        <v>0</v>
      </c>
      <c r="D62" s="3"/>
    </row>
    <row r="63" customFormat="false" ht="15" hidden="false" customHeight="false" outlineLevel="0" collapsed="false">
      <c r="B63" s="9" t="s">
        <v>655</v>
      </c>
      <c r="C63" s="40" t="n">
        <f aca="false">IF(C5="SAG",INDEX(Sector_F,MATCH(C21,Sector_Nome,0)),1)</f>
        <v>1</v>
      </c>
      <c r="D63" s="3"/>
    </row>
    <row r="64" customFormat="false" ht="15" hidden="false" customHeight="false" outlineLevel="0" collapsed="false">
      <c r="B64" s="16" t="s">
        <v>656</v>
      </c>
      <c r="C64" s="15" t="n">
        <f aca="false">(1+C59)*C60*(1+C61)*(1+C62)*C63</f>
        <v>0.915724140469015</v>
      </c>
      <c r="D64" s="3" t="s">
        <v>657</v>
      </c>
    </row>
    <row r="65" customFormat="false" ht="15" hidden="false" customHeight="false" outlineLevel="0" collapsed="false">
      <c r="B65" s="9" t="s">
        <v>658</v>
      </c>
      <c r="C65" s="20" t="n">
        <f aca="false">IF(C5="SAU",sig_SAU,INDEX(Size_Sig,MATCH(C18,Size_Min,1)))</f>
        <v>0.08</v>
      </c>
      <c r="D65" s="3" t="s">
        <v>659</v>
      </c>
    </row>
    <row r="66" customFormat="false" ht="15" hidden="false" customHeight="false" outlineLevel="0" collapsed="false">
      <c r="B66" s="7" t="s">
        <v>660</v>
      </c>
      <c r="C66" s="20" t="n">
        <f aca="false">IF(C5="SAU",load_SAU,load_SAG)</f>
        <v>0.3</v>
      </c>
      <c r="D66" s="3"/>
    </row>
    <row r="67" customFormat="false" ht="15" hidden="false" customHeight="false" outlineLevel="0" collapsed="false">
      <c r="B67" s="9" t="s">
        <v>661</v>
      </c>
      <c r="C67" s="20" t="n">
        <f aca="false">IF(C5="SAU",INDEX(Agreg_Desc,MATCH(C31,Agreg_Min,1)),0)</f>
        <v>-0.075</v>
      </c>
      <c r="D67" s="3"/>
    </row>
    <row r="68" customFormat="false" ht="15" hidden="false" customHeight="false" outlineLevel="0" collapsed="false">
      <c r="B68" s="7" t="s">
        <v>662</v>
      </c>
      <c r="C68" s="20" t="n">
        <f aca="false">INDEX(Cross_Desc,MATCH(C13,Cross_Nome,0))</f>
        <v>0</v>
      </c>
      <c r="D68" s="3"/>
    </row>
    <row r="69" customFormat="false" ht="15" hidden="false" customHeight="false" outlineLevel="0" collapsed="false">
      <c r="B69" s="9" t="s">
        <v>663</v>
      </c>
      <c r="C69" s="20" t="n">
        <f aca="false">IF(C14="Sim",desc_renov,0)</f>
        <v>0</v>
      </c>
      <c r="D69" s="3"/>
    </row>
    <row r="70" customFormat="false" ht="15" hidden="false" customHeight="false" outlineLevel="0" collapsed="false">
      <c r="B70" s="16" t="s">
        <v>664</v>
      </c>
      <c r="C70" s="8" t="n">
        <f aca="false">MAX(desc_max,(1+C67)*(1+C68)*(1+C69)-1)</f>
        <v>-0.075</v>
      </c>
      <c r="D70" s="3" t="s">
        <v>665</v>
      </c>
    </row>
    <row r="71" customFormat="false" ht="15" hidden="false" customHeight="false" outlineLevel="0" collapsed="false">
      <c r="B71" s="9" t="s">
        <v>420</v>
      </c>
      <c r="C71" s="20" t="n">
        <f aca="false">IF(C5="SAU",tax_SAU,tax_SAG)</f>
        <v>0.01</v>
      </c>
      <c r="D71" s="3"/>
    </row>
    <row r="73" customFormat="false" ht="15" hidden="false" customHeight="false" outlineLevel="0" collapsed="false">
      <c r="B73" s="4" t="s">
        <v>666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customFormat="false" ht="31.5" hidden="false" customHeight="true" outlineLevel="0" collapsed="false">
      <c r="B74" s="6" t="s">
        <v>667</v>
      </c>
      <c r="C74" s="6" t="s">
        <v>668</v>
      </c>
      <c r="D74" s="6" t="s">
        <v>669</v>
      </c>
    </row>
    <row r="75" customFormat="false" ht="15" hidden="false" customHeight="false" outlineLevel="0" collapsed="false">
      <c r="B75" s="7" t="s">
        <v>670</v>
      </c>
      <c r="C75" s="18" t="n">
        <f aca="false">L31</f>
        <v>1744871.15092744</v>
      </c>
      <c r="D75" s="20" t="n">
        <f aca="false">C75/$C$86</f>
        <v>0.757611423944074</v>
      </c>
    </row>
    <row r="76" customFormat="false" ht="15" hidden="false" customHeight="false" outlineLevel="0" collapsed="false">
      <c r="B76" s="16" t="s">
        <v>671</v>
      </c>
      <c r="C76" s="14" t="n">
        <f aca="false">C75*C64</f>
        <v>1597820.63491221</v>
      </c>
      <c r="D76" s="20" t="n">
        <f aca="false">C76/$C$86</f>
        <v>0.693763070000694</v>
      </c>
    </row>
    <row r="77" customFormat="false" ht="15" hidden="false" customHeight="false" outlineLevel="0" collapsed="false">
      <c r="B77" s="7" t="s">
        <v>74</v>
      </c>
      <c r="C77" s="18" t="n">
        <f aca="false">C76*C65</f>
        <v>127825.650792977</v>
      </c>
      <c r="D77" s="20" t="n">
        <f aca="false">C77/$C$86</f>
        <v>0.0555010456000555</v>
      </c>
    </row>
    <row r="78" customFormat="false" ht="15" hidden="false" customHeight="false" outlineLevel="0" collapsed="false">
      <c r="B78" s="16" t="s">
        <v>413</v>
      </c>
      <c r="C78" s="14" t="n">
        <f aca="false">C76+C77</f>
        <v>1725646.28570519</v>
      </c>
      <c r="D78" s="20" t="n">
        <f aca="false">C78/$C$86</f>
        <v>0.749264115600749</v>
      </c>
    </row>
    <row r="79" customFormat="false" ht="15" hidden="false" customHeight="false" outlineLevel="0" collapsed="false">
      <c r="B79" s="16" t="s">
        <v>414</v>
      </c>
      <c r="C79" s="14" t="n">
        <f aca="false">C78/(1-C66)</f>
        <v>2465208.97957884</v>
      </c>
      <c r="D79" s="20" t="n">
        <f aca="false">C79/$C$86</f>
        <v>1.07037730800107</v>
      </c>
    </row>
    <row r="80" customFormat="false" ht="15" hidden="false" customHeight="false" outlineLevel="0" collapsed="false">
      <c r="B80" s="7" t="s">
        <v>672</v>
      </c>
      <c r="C80" s="18" t="n">
        <f aca="false">C79*IF(C5="SAU",ea_SAU,ea_SAG)</f>
        <v>320477.167345249</v>
      </c>
      <c r="D80" s="20" t="n">
        <f aca="false">C80/$C$86</f>
        <v>0.139149050040139</v>
      </c>
    </row>
    <row r="81" customFormat="false" ht="15" hidden="false" customHeight="false" outlineLevel="0" collapsed="false">
      <c r="B81" s="7" t="s">
        <v>673</v>
      </c>
      <c r="C81" s="18" t="n">
        <f aca="false">C79*IF(C5="SAU",ec_SAU,ec_SAG)</f>
        <v>295825.07754946</v>
      </c>
      <c r="D81" s="20" t="n">
        <f aca="false">C81/$C$86</f>
        <v>0.128445276960128</v>
      </c>
    </row>
    <row r="82" customFormat="false" ht="15" hidden="false" customHeight="false" outlineLevel="0" collapsed="false">
      <c r="B82" s="7" t="s">
        <v>674</v>
      </c>
      <c r="C82" s="18" t="n">
        <f aca="false">C79*IF(C5="SAU",m_SAU,m_SAG)</f>
        <v>123260.448978942</v>
      </c>
      <c r="D82" s="20" t="n">
        <f aca="false">C82/$C$86</f>
        <v>0.0535188654000535</v>
      </c>
    </row>
    <row r="83" customFormat="false" ht="15" hidden="false" customHeight="false" outlineLevel="0" collapsed="false">
      <c r="B83" s="7" t="s">
        <v>675</v>
      </c>
      <c r="C83" s="18" t="n">
        <f aca="false">C79*C70</f>
        <v>-184890.673468413</v>
      </c>
      <c r="D83" s="20" t="n">
        <f aca="false">C83/$C$86</f>
        <v>-0.0802782981000802</v>
      </c>
    </row>
    <row r="84" customFormat="false" ht="15" hidden="false" customHeight="false" outlineLevel="0" collapsed="false">
      <c r="B84" s="16" t="s">
        <v>676</v>
      </c>
      <c r="C84" s="14" t="n">
        <f aca="false">C79+C83</f>
        <v>2280318.30611042</v>
      </c>
      <c r="D84" s="20" t="n">
        <f aca="false">C84/$C$86</f>
        <v>0.99009900990099</v>
      </c>
    </row>
    <row r="85" customFormat="false" ht="15" hidden="false" customHeight="false" outlineLevel="0" collapsed="false">
      <c r="B85" s="7" t="s">
        <v>677</v>
      </c>
      <c r="C85" s="18" t="n">
        <f aca="false">C84*C71</f>
        <v>22803.1830611042</v>
      </c>
      <c r="D85" s="20" t="n">
        <f aca="false">C85/$C$86</f>
        <v>0.0099009900990099</v>
      </c>
    </row>
    <row r="86" customFormat="false" ht="15" hidden="false" customHeight="false" outlineLevel="0" collapsed="false">
      <c r="B86" s="61" t="s">
        <v>678</v>
      </c>
      <c r="C86" s="62" t="n">
        <f aca="false">C84+C85</f>
        <v>2303121.48917153</v>
      </c>
      <c r="D86" s="20" t="n">
        <f aca="false">C86/$C$86</f>
        <v>1</v>
      </c>
    </row>
    <row r="87" customFormat="false" ht="15" hidden="false" customHeight="false" outlineLevel="0" collapsed="false">
      <c r="B87" s="63" t="s">
        <v>679</v>
      </c>
      <c r="C87" s="64" t="n">
        <f aca="false">IF(C5="SAG",C86*C18,C86)</f>
        <v>2303121.48917153</v>
      </c>
      <c r="D87" s="20" t="n">
        <f aca="false">C87/$C$86</f>
        <v>1</v>
      </c>
    </row>
    <row r="88" customFormat="false" ht="15" hidden="false" customHeight="false" outlineLevel="0" collapsed="false">
      <c r="B88" s="7" t="s">
        <v>680</v>
      </c>
      <c r="C88" s="20" t="n">
        <f aca="false">C76/C84</f>
        <v>0.700700700700701</v>
      </c>
    </row>
    <row r="90" customFormat="false" ht="31.5" hidden="false" customHeight="true" outlineLevel="0" collapsed="false">
      <c r="B90" s="6" t="s">
        <v>681</v>
      </c>
      <c r="C90" s="6" t="s">
        <v>100</v>
      </c>
      <c r="D90" s="6" t="s">
        <v>682</v>
      </c>
      <c r="E90" s="6" t="s">
        <v>683</v>
      </c>
      <c r="F90" s="6"/>
      <c r="G90" s="6" t="s">
        <v>684</v>
      </c>
      <c r="H90" s="6" t="s">
        <v>685</v>
      </c>
    </row>
    <row r="91" customFormat="false" ht="15" hidden="false" customHeight="false" outlineLevel="0" collapsed="false">
      <c r="B91" s="16" t="s">
        <v>102</v>
      </c>
      <c r="C91" s="29" t="n">
        <f aca="false">INDEX(Frac_N,MATCH(B91,Frac_Nome,0))</f>
        <v>1</v>
      </c>
      <c r="D91" s="20" t="n">
        <f aca="false">INDEX(Frac_Enc,MATCH(B91,Frac_Nome,0))</f>
        <v>0</v>
      </c>
      <c r="E91" s="65" t="n">
        <f aca="false">$C$86*(1+D91)/C91</f>
        <v>2303121.48917153</v>
      </c>
      <c r="F91" s="65"/>
      <c r="G91" s="18" t="n">
        <f aca="false">E91*C91</f>
        <v>2303121.48917153</v>
      </c>
      <c r="H91" s="18" t="n">
        <f aca="false">$C$87*(1+D91)/C91</f>
        <v>2303121.48917153</v>
      </c>
    </row>
    <row r="92" customFormat="false" ht="15" hidden="false" customHeight="false" outlineLevel="0" collapsed="false">
      <c r="B92" s="16" t="s">
        <v>103</v>
      </c>
      <c r="C92" s="29" t="n">
        <f aca="false">INDEX(Frac_N,MATCH(B92,Frac_Nome,0))</f>
        <v>2</v>
      </c>
      <c r="D92" s="20" t="n">
        <f aca="false">INDEX(Frac_Enc,MATCH(B92,Frac_Nome,0))</f>
        <v>0.015</v>
      </c>
      <c r="E92" s="65" t="n">
        <f aca="false">$C$86*(1+D92)/C92</f>
        <v>1168834.15575455</v>
      </c>
      <c r="F92" s="65"/>
      <c r="G92" s="18" t="n">
        <f aca="false">E92*C92</f>
        <v>2337668.3115091</v>
      </c>
      <c r="H92" s="18" t="n">
        <f aca="false">$C$87*(1+D92)/C92</f>
        <v>1168834.15575455</v>
      </c>
    </row>
    <row r="93" customFormat="false" ht="15" hidden="false" customHeight="false" outlineLevel="0" collapsed="false">
      <c r="B93" s="16" t="s">
        <v>104</v>
      </c>
      <c r="C93" s="29" t="n">
        <f aca="false">INDEX(Frac_N,MATCH(B93,Frac_Nome,0))</f>
        <v>4</v>
      </c>
      <c r="D93" s="20" t="n">
        <f aca="false">INDEX(Frac_Enc,MATCH(B93,Frac_Nome,0))</f>
        <v>0.025</v>
      </c>
      <c r="E93" s="65" t="n">
        <f aca="false">$C$86*(1+D93)/C93</f>
        <v>590174.881600204</v>
      </c>
      <c r="F93" s="65"/>
      <c r="G93" s="18" t="n">
        <f aca="false">E93*C93</f>
        <v>2360699.52640082</v>
      </c>
      <c r="H93" s="18" t="n">
        <f aca="false">$C$87*(1+D93)/C93</f>
        <v>590174.881600204</v>
      </c>
    </row>
    <row r="94" customFormat="false" ht="15" hidden="false" customHeight="false" outlineLevel="0" collapsed="false">
      <c r="B94" s="16" t="s">
        <v>105</v>
      </c>
      <c r="C94" s="29" t="n">
        <f aca="false">INDEX(Frac_N,MATCH(B94,Frac_Nome,0))</f>
        <v>12</v>
      </c>
      <c r="D94" s="20" t="n">
        <f aca="false">INDEX(Frac_Enc,MATCH(B94,Frac_Nome,0))</f>
        <v>0.04</v>
      </c>
      <c r="E94" s="65" t="n">
        <f aca="false">$C$86*(1+D94)/C94</f>
        <v>199603.862394866</v>
      </c>
      <c r="F94" s="65"/>
      <c r="G94" s="18" t="n">
        <f aca="false">E94*C94</f>
        <v>2395246.34873839</v>
      </c>
      <c r="H94" s="18" t="n">
        <f aca="false">$C$87*(1+D94)/C94</f>
        <v>199603.862394866</v>
      </c>
    </row>
    <row r="95" customFormat="false" ht="15" hidden="false" customHeight="false" outlineLevel="0" collapsed="false">
      <c r="B95" s="61" t="s">
        <v>686</v>
      </c>
      <c r="C95" s="66" t="n">
        <f aca="false">INDEX(E91:E94,MATCH(C15,B91:B94,0))</f>
        <v>199603.862394866</v>
      </c>
    </row>
  </sheetData>
  <mergeCells count="6">
    <mergeCell ref="A1:M1"/>
    <mergeCell ref="A2:M2"/>
    <mergeCell ref="E91:F91"/>
    <mergeCell ref="E92:F92"/>
    <mergeCell ref="E93:F93"/>
    <mergeCell ref="E94:F94"/>
  </mergeCells>
  <dataValidations count="16">
    <dataValidation allowBlank="true" error="Valor inválido" errorStyle="stop" operator="between" showDropDown="false" showErrorMessage="true" showInputMessage="false" sqref="C5" type="list">
      <formula1>Listas!$A$2:$A$3</formula1>
      <formula2>0</formula2>
    </dataValidation>
    <dataValidation allowBlank="true" error="Valor inválido" errorStyle="stop" operator="between" showDropDown="false" showErrorMessage="true" showInputMessage="false" sqref="C6" type="list">
      <formula1>Listas!$B$2:$B$4</formula1>
      <formula2>0</formula2>
    </dataValidation>
    <dataValidation allowBlank="true" error="Valor inválido" errorStyle="stop" operator="between" showDropDown="false" showErrorMessage="true" showInputMessage="false" sqref="C8" type="list">
      <formula1>Reg_Nome</formula1>
      <formula2>0</formula2>
    </dataValidation>
    <dataValidation allowBlank="true" error="Valor inválido" errorStyle="stop" operator="between" showDropDown="false" showErrorMessage="true" showInputMessage="false" sqref="C9" type="list">
      <formula1>Copay_Val</formula1>
      <formula2>0</formula2>
    </dataValidation>
    <dataValidation allowBlank="true" error="Valor inválido" errorStyle="stop" operator="between" showDropDown="false" showErrorMessage="true" showInputMessage="false" sqref="C10" type="list">
      <formula1>Comp_Val</formula1>
      <formula2>0</formula2>
    </dataValidation>
    <dataValidation allowBlank="true" error="Valor inválido" errorStyle="stop" operator="between" showDropDown="false" showErrorMessage="true" showInputMessage="false" sqref="C11" type="list">
      <formula1>FA_Val</formula1>
      <formula2>0</formula2>
    </dataValidation>
    <dataValidation allowBlank="true" error="Valor inválido" errorStyle="stop" operator="between" showDropDown="false" showErrorMessage="true" showInputMessage="false" sqref="C12" type="list">
      <formula1>FI_Val</formula1>
      <formula2>0</formula2>
    </dataValidation>
    <dataValidation allowBlank="true" error="Valor inválido" errorStyle="stop" operator="between" showDropDown="false" showErrorMessage="true" showInputMessage="false" sqref="C13" type="list">
      <formula1>Cross_Nome</formula1>
      <formula2>0</formula2>
    </dataValidation>
    <dataValidation allowBlank="true" error="Valor inválido" errorStyle="stop" operator="between" showDropDown="false" showErrorMessage="true" showInputMessage="false" sqref="C14" type="list">
      <formula1>Listas!$D$2:$D$3</formula1>
      <formula2>0</formula2>
    </dataValidation>
    <dataValidation allowBlank="true" error="Valor inválido" errorStyle="stop" operator="between" showDropDown="false" showErrorMessage="true" showInputMessage="false" sqref="C15" type="list">
      <formula1>Frac_Nome</formula1>
      <formula2>0</formula2>
    </dataValidation>
    <dataValidation allowBlank="true" error="Valor inválido" errorStyle="stop" operator="between" showDropDown="false" showErrorMessage="true" showInputMessage="false" sqref="C19" type="list">
      <formula1>Listas!$G$2:$G$3</formula1>
      <formula2>0</formula2>
    </dataValidation>
    <dataValidation allowBlank="true" error="Valor inválido" errorStyle="stop" operator="between" showDropDown="false" showErrorMessage="true" showInputMessage="false" sqref="C21" type="list">
      <formula1>Sector_Nome</formula1>
      <formula2>0</formula2>
    </dataValidation>
    <dataValidation allowBlank="true" error="Valor inválido" errorStyle="stop" operator="between" showDropDown="false" showErrorMessage="true" showInputMessage="false" sqref="C25:C30" type="list">
      <formula1>Listas!$D$2:$D$3</formula1>
      <formula2>0</formula2>
    </dataValidation>
    <dataValidation allowBlank="true" error="Valor inválido" errorStyle="stop" operator="between" showDropDown="false" showErrorMessage="true" showInputMessage="false" sqref="D25:D30" type="list">
      <formula1>Listas!$E$2:$E$3</formula1>
      <formula2>0</formula2>
    </dataValidation>
    <dataValidation allowBlank="true" error="Valor inválido" errorStyle="stop" operator="between" showDropDown="false" showErrorMessage="true" showInputMessage="false" sqref="H25:H30" type="list">
      <formula1>Clin_Nome</formula1>
      <formula2>0</formula2>
    </dataValidation>
    <dataValidation allowBlank="true" error="Valor inválido" errorStyle="stop" operator="between" showDropDown="false" showErrorMessage="true" showInputMessage="false" sqref="F35:F51" type="list">
      <formula1>Listas!$D$2:$D$3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15" hidden="false" customHeight="false" outlineLevel="0" collapsed="false">
      <c r="A1" s="43" t="s">
        <v>687</v>
      </c>
      <c r="B1" s="43" t="s">
        <v>21</v>
      </c>
      <c r="C1" s="43" t="s">
        <v>688</v>
      </c>
      <c r="D1" s="43" t="s">
        <v>689</v>
      </c>
      <c r="E1" s="43" t="s">
        <v>302</v>
      </c>
      <c r="F1" s="43" t="s">
        <v>690</v>
      </c>
      <c r="G1" s="43" t="s">
        <v>691</v>
      </c>
      <c r="H1" s="43" t="s">
        <v>692</v>
      </c>
    </row>
    <row r="2" customFormat="false" ht="15" hidden="false" customHeight="false" outlineLevel="0" collapsed="false">
      <c r="A2" s="7" t="s">
        <v>606</v>
      </c>
      <c r="B2" s="7" t="s">
        <v>295</v>
      </c>
      <c r="C2" s="7" t="s">
        <v>327</v>
      </c>
      <c r="D2" s="7" t="s">
        <v>632</v>
      </c>
      <c r="E2" s="7" t="s">
        <v>320</v>
      </c>
      <c r="F2" s="7" t="s">
        <v>296</v>
      </c>
      <c r="G2" s="7" t="s">
        <v>390</v>
      </c>
      <c r="H2" s="7" t="s">
        <v>236</v>
      </c>
    </row>
    <row r="3" customFormat="false" ht="15" hidden="false" customHeight="false" outlineLevel="0" collapsed="false">
      <c r="A3" s="7" t="s">
        <v>693</v>
      </c>
      <c r="B3" s="7" t="s">
        <v>299</v>
      </c>
      <c r="C3" s="7" t="s">
        <v>328</v>
      </c>
      <c r="D3" s="7" t="s">
        <v>616</v>
      </c>
      <c r="E3" s="7" t="s">
        <v>321</v>
      </c>
      <c r="F3" s="7" t="s">
        <v>297</v>
      </c>
      <c r="G3" s="7" t="s">
        <v>694</v>
      </c>
      <c r="H3" s="7" t="s">
        <v>237</v>
      </c>
    </row>
    <row r="4" customFormat="false" ht="15" hidden="false" customHeight="false" outlineLevel="0" collapsed="false">
      <c r="B4" s="7" t="s">
        <v>300</v>
      </c>
      <c r="C4" s="7" t="s">
        <v>329</v>
      </c>
      <c r="F4" s="7" t="s">
        <v>298</v>
      </c>
      <c r="H4" s="7" t="s">
        <v>135</v>
      </c>
    </row>
    <row r="5" customFormat="false" ht="15" hidden="false" customHeight="false" outlineLevel="0" collapsed="false">
      <c r="H5" s="7" t="s">
        <v>161</v>
      </c>
    </row>
    <row r="6" customFormat="false" ht="15" hidden="false" customHeight="false" outlineLevel="0" collapsed="false">
      <c r="H6" s="7" t="s">
        <v>20</v>
      </c>
    </row>
    <row r="7" customFormat="false" ht="15" hidden="false" customHeight="false" outlineLevel="0" collapsed="false">
      <c r="H7" s="7" t="s">
        <v>238</v>
      </c>
    </row>
    <row r="8" customFormat="false" ht="15" hidden="false" customHeight="false" outlineLevel="0" collapsed="false">
      <c r="H8" s="7" t="s">
        <v>239</v>
      </c>
    </row>
    <row r="9" customFormat="false" ht="15" hidden="false" customHeight="false" outlineLevel="0" collapsed="false">
      <c r="H9" s="7" t="s">
        <v>240</v>
      </c>
    </row>
    <row r="10" customFormat="false" ht="15" hidden="false" customHeight="false" outlineLevel="0" collapsed="false">
      <c r="H10" s="7" t="s">
        <v>241</v>
      </c>
    </row>
    <row r="11" customFormat="false" ht="15" hidden="false" customHeight="false" outlineLevel="0" collapsed="false">
      <c r="H11" s="7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2026-10-02T11:02:36Z</dcterms:created>
  <dc:creator>openpyxl</dc:creator>
  <dc:description/>
  <dc:language>en-US</dc:language>
  <cp:lastModifiedBy/>
  <dcterms:modified xsi:type="dcterms:W3CDTF">2026-10-02T12:02:39Z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