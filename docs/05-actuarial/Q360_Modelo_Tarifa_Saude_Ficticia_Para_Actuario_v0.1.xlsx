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2ade436dd641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b08dc8f671924c71"/>
    <x:sheet xmlns:r="http://schemas.openxmlformats.org/officeDocument/2006/relationships" name="01_Planos_Coberturas" sheetId="2" r:id="Rc0613f515155400f"/>
    <x:sheet xmlns:r="http://schemas.openxmlformats.org/officeDocument/2006/relationships" name="02_Tarifa_Base" sheetId="3" r:id="R2637190fa4ae437e"/>
    <x:sheet xmlns:r="http://schemas.openxmlformats.org/officeDocument/2006/relationships" name="03_Factores_Idade" sheetId="4" r:id="R4e007bd4cf9f4b0c"/>
    <x:sheet xmlns:r="http://schemas.openxmlformats.org/officeDocument/2006/relationships" name="04_Factores_Comerciais" sheetId="5" r:id="R6dc072eac0cd4737"/>
    <x:sheet xmlns:r="http://schemas.openxmlformats.org/officeDocument/2006/relationships" name="05_Loadings_Tecnicos" sheetId="6" r:id="Rc6aa96c547154474"/>
    <x:sheet xmlns:r="http://schemas.openxmlformats.org/officeDocument/2006/relationships" name="06_Calculadora" sheetId="7" r:id="Rbbc49938a90d49a6"/>
    <x:sheet xmlns:r="http://schemas.openxmlformats.org/officeDocument/2006/relationships" name="07_Input_Actuario" sheetId="8" r:id="Reffa5eb46fc34314"/>
    <x:sheet xmlns:r="http://schemas.openxmlformats.org/officeDocument/2006/relationships" name="08_Fontes_Referencias" sheetId="9" r:id="Rb08b64cffc1b40af"/>
    <x:sheet xmlns:r="http://schemas.openxmlformats.org/officeDocument/2006/relationships" name="09_Resumo" sheetId="10" r:id="Rc133d5d534ae40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[Red](#,##0);-"/>
    <x:numFmt numFmtId="201" formatCode="0.0%;[Red](0.0%);-"/>
    <x:numFmt numFmtId="202" formatCode="0.000x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3" fillId="0" borderId="0" xfId="0" applyNumberFormat="1" applyFont="1" applyFill="1" applyBorder="1"/>
    <x:xf numFmtId="202" fontId="3" fillId="0" borderId="1" xfId="0" applyNumberFormat="1" applyFont="1" applyFill="1" applyBorder="1"/>
    <x:xf numFmtId="202" fontId="3" fillId="0" borderId="0" xfId="0" applyNumberFormat="1" applyFont="1" applyFill="1" applyBorder="1" applyAlignment="1">
      <x:alignment wrapText="1"/>
    </x:xf>
    <x:xf numFmtId="202" fontId="3" fillId="0" borderId="1" xfId="0" applyNumberFormat="1" applyFont="1" applyFill="1" applyBorder="1" applyAlignment="1">
      <x:alignment wrapText="1"/>
    </x:xf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201" fontId="3" fillId="0" borderId="0" xfId="0" applyNumberFormat="1" applyFont="1" applyFill="1" applyBorder="1" applyAlignment="1">
      <x:alignment wrapText="1"/>
    </x:xf>
    <x:xf numFmtId="201" fontId="3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c55c21e2014a5c" /><Relationship Type="http://schemas.openxmlformats.org/officeDocument/2006/relationships/theme" Target="/xl/theme/theme1.xml" Id="Rca42ddd539874f34" /><Relationship Type="http://schemas.openxmlformats.org/officeDocument/2006/relationships/sharedStrings" Target="/xl/sharedStrings.xml" Id="R751eec12aab340d6" /><Relationship Type="http://schemas.openxmlformats.org/officeDocument/2006/relationships/worksheet" Target="/xl/worksheets/sheet1.xml" Id="Rb08dc8f671924c71" /><Relationship Type="http://schemas.openxmlformats.org/officeDocument/2006/relationships/worksheet" Target="/xl/worksheets/sheet2.xml" Id="Rc0613f515155400f" /><Relationship Type="http://schemas.openxmlformats.org/officeDocument/2006/relationships/worksheet" Target="/xl/worksheets/sheet3.xml" Id="R2637190fa4ae437e" /><Relationship Type="http://schemas.openxmlformats.org/officeDocument/2006/relationships/worksheet" Target="/xl/worksheets/sheet4.xml" Id="R4e007bd4cf9f4b0c" /><Relationship Type="http://schemas.openxmlformats.org/officeDocument/2006/relationships/worksheet" Target="/xl/worksheets/sheet5.xml" Id="R6dc072eac0cd4737" /><Relationship Type="http://schemas.openxmlformats.org/officeDocument/2006/relationships/worksheet" Target="/xl/worksheets/sheet6.xml" Id="Rc6aa96c547154474" /><Relationship Type="http://schemas.openxmlformats.org/officeDocument/2006/relationships/worksheet" Target="/xl/worksheets/sheet7.xml" Id="Rbbc49938a90d49a6" /><Relationship Type="http://schemas.openxmlformats.org/officeDocument/2006/relationships/worksheet" Target="/xl/worksheets/sheet8.xml" Id="Reffa5eb46fc34314" /><Relationship Type="http://schemas.openxmlformats.org/officeDocument/2006/relationships/worksheet" Target="/xl/worksheets/sheet9.xml" Id="Rb08b64cffc1b40af" /><Relationship Type="http://schemas.openxmlformats.org/officeDocument/2006/relationships/worksheet" Target="/xl/worksheets/sheet10.xml" Id="Rc133d5d534ae408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f344e893844476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Prémio Base Anual Simulado por Plano (AOA)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Prémio Base Anual (AOA)</c:v>
          </c:tx>
          <c:cat>
            <c:strRef>
              <c:f>'02_Tarifa_Base'!$B$2:$B$5</c:f>
              <c:strCache>
                <c:ptCount val="0"/>
              </c:strCache>
            </c:strRef>
          </c:cat>
          <c:val>
            <c:numRef>
              <c:f>'02_Tarifa_Base'!$C$2:$C$5</c:f>
              <c:numCache>
                <c:formatCode>#,##0;[Red](#,##0);-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f344e893844476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227c0db386f24963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10" hidden="0" customWidth="1"/>
  </x:cols>
  <x:sheetData>
    <x:row r="1">
      <x:c r="A1" s="6" t="str">
        <x:v>MODELO ACTUARIAL ILUSTRATIVO — TARIFA SAÚDE Q360</x:v>
      </x:c>
      <x:c r="B1" s="6" t="str"/>
    </x:row>
    <x:row r="2">
      <x:c r="A2" s="7" t="str">
        <x:v>Documento</x:v>
      </x:c>
      <x:c r="B2" s="7" t="str">
        <x:v>Q360 — Tarifa Simulada para Discussão Actuarial</x:v>
      </x:c>
    </x:row>
    <x:row r="3">
      <x:c r="A3" s="7" t="str">
        <x:v>Versão</x:v>
      </x:c>
      <x:c r="B3" s="7" t="str">
        <x:v>0.1 — FICTÍCIA / NÃO COMERCIAL</x:v>
      </x:c>
    </x:row>
    <x:row r="4">
      <x:c r="A4" s="7" t="str">
        <x:v>Finalidade</x:v>
      </x:c>
      <x:c r="B4" s="7" t="str">
        <x:v>Modelo de estrutura para o actuário substituir pressupostos e calibrar uma tarifa oficial da seguradora.</x:v>
      </x:c>
    </x:row>
    <x:row r="5">
      <x:c r="A5" s="7" t="str">
        <x:v>Mercado de referência</x:v>
      </x:c>
      <x:c r="B5" s="7" t="str">
        <x:v>Angola, com referências estruturais observáveis em Angola e África do Sul.</x:v>
      </x:c>
    </x:row>
    <x:row r="6">
      <x:c r="A6" s="7" t="str">
        <x:v>Moeda de cálculo</x:v>
      </x:c>
      <x:c r="B6" s="7" t="str">
        <x:v>AOA — apenas para esta simulação.</x:v>
      </x:c>
    </x:row>
    <x:row r="7">
      <x:c r="A7" s="7" t="str">
        <x:v>Aviso crítico</x:v>
      </x:c>
      <x:c r="B7" s="7" t="str">
        <x:v>TODOS os prémios, factores, limites e loadings são fictícios. Não constituem tarifa aprovada, recomendação actuarial, oferta de seguro ou indicação de preço de mercado.</x:v>
      </x:c>
    </x:row>
    <x:row r="8">
      <x:c r="A8" s="7" t="str">
        <x:v>Uso pretendido</x:v>
      </x:c>
      <x:c r="B8" s="7" t="str">
        <x:v>Discussão com Actuário, Subscrição, Produto e Resseguro antes do fecho da OD-001.</x:v>
      </x:c>
    </x:row>
    <x:row r="9">
      <x:c r="A9" s="7" t="str">
        <x:v>Princípio Q360</x:v>
      </x:c>
      <x:c r="B9" s="7" t="str">
        <x:v>Tarifa base × factores versionados + loadings explícitos; cálculo determinístico e auditável.</x:v>
      </x:c>
    </x:row>
    <x:row r="10">
      <x:c r="A10" s="7" t="str">
        <x:v>Estado futuro</x:v>
      </x:c>
      <x:c r="B10" s="7" t="str">
        <x:v>Quando a tarifa oficial for anexada, este modelo deixa de ser autoridade e servirá apenas como referência estrutural.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5" hidden="0" customWidth="1"/>
    <x:col min="3" max="3" width="25" hidden="0" customWidth="1"/>
    <x:col min="4" max="4" width="27" hidden="0" customWidth="1"/>
    <x:col min="5" max="5" width="35" hidden="0" customWidth="1"/>
  </x:cols>
  <x:sheetData>
    <x:row r="1">
      <x:c r="A1" s="13" t="str">
        <x:v>Elemento</x:v>
      </x:c>
      <x:c r="B1" s="13" t="str">
        <x:v>ESSENCIAL</x:v>
      </x:c>
      <x:c r="C1" s="13" t="str">
        <x:v>STANDARD</x:v>
      </x:c>
      <x:c r="D1" s="13" t="str">
        <x:v>PLUS</x:v>
      </x:c>
      <x:c r="E1" s="13" t="str">
        <x:v>PREMIUM</x:v>
      </x:c>
    </x:row>
    <x:row r="2">
      <x:c r="A2" s="7" t="str">
        <x:v>Posicionamento</x:v>
      </x:c>
      <x:c r="B2" s="7" t="str">
        <x:v>Rede local / custo controlado</x:v>
      </x:c>
      <x:c r="C2" s="7" t="str">
        <x:v>Corporate equilibrado</x:v>
      </x:c>
      <x:c r="D2" s="7" t="str">
        <x:v>Corporate alargado</x:v>
      </x:c>
      <x:c r="E2" s="7" t="str">
        <x:v>Executivo / internacional</x:v>
      </x:c>
    </x:row>
    <x:row r="3">
      <x:c r="A3" s="7" t="str">
        <x:v>Hospitalização anual (AOA)</x:v>
      </x:c>
      <x:c r="B3" s="22" t="n">
        <x:v>15000000</x:v>
      </x:c>
      <x:c r="C3" s="22" t="n">
        <x:v>30000000</x:v>
      </x:c>
      <x:c r="D3" s="22" t="n">
        <x:v>60000000</x:v>
      </x:c>
      <x:c r="E3" s="22" t="n">
        <x:v>100000000</x:v>
      </x:c>
    </x:row>
    <x:row r="4">
      <x:c r="A4" s="7" t="str">
        <x:v>Ambulatório anual (AOA)</x:v>
      </x:c>
      <x:c r="B4" s="22" t="n">
        <x:v>500000</x:v>
      </x:c>
      <x:c r="C4" s="22" t="n">
        <x:v>1000000</x:v>
      </x:c>
      <x:c r="D4" s="22" t="n">
        <x:v>2000000</x:v>
      </x:c>
      <x:c r="E4" s="22" t="n">
        <x:v>3500000</x:v>
      </x:c>
    </x:row>
    <x:row r="5">
      <x:c r="A5" s="7" t="str">
        <x:v>Medicamentos ambulatório (AOA)</x:v>
      </x:c>
      <x:c r="B5" s="22" t="n">
        <x:v>250000</x:v>
      </x:c>
      <x:c r="C5" s="22" t="n">
        <x:v>500000</x:v>
      </x:c>
      <x:c r="D5" s="22" t="n">
        <x:v>1000000</x:v>
      </x:c>
      <x:c r="E5" s="22" t="n">
        <x:v>1750000</x:v>
      </x:c>
    </x:row>
    <x:row r="6">
      <x:c r="A6" s="7" t="str">
        <x:v>Maternidade (AOA)</x:v>
      </x:c>
      <x:c r="B6" s="22" t="n">
        <x:v>0</x:v>
      </x:c>
      <x:c r="C6" s="22" t="n">
        <x:v>750000</x:v>
      </x:c>
      <x:c r="D6" s="22" t="n">
        <x:v>1500000</x:v>
      </x:c>
      <x:c r="E6" s="22" t="n">
        <x:v>2500000</x:v>
      </x:c>
    </x:row>
    <x:row r="7">
      <x:c r="A7" s="7" t="str">
        <x:v>Estomatologia (AOA)</x:v>
      </x:c>
      <x:c r="B7" s="22" t="n">
        <x:v>0</x:v>
      </x:c>
      <x:c r="C7" s="22" t="n">
        <x:v>150000</x:v>
      </x:c>
      <x:c r="D7" s="22" t="n">
        <x:v>300000</x:v>
      </x:c>
      <x:c r="E7" s="22" t="n">
        <x:v>500000</x:v>
      </x:c>
    </x:row>
    <x:row r="8">
      <x:c r="A8" s="7" t="str">
        <x:v>Óptica (AOA)</x:v>
      </x:c>
      <x:c r="B8" s="22" t="n">
        <x:v>0</x:v>
      </x:c>
      <x:c r="C8" s="22" t="n">
        <x:v>100000</x:v>
      </x:c>
      <x:c r="D8" s="22" t="n">
        <x:v>200000</x:v>
      </x:c>
      <x:c r="E8" s="22" t="n">
        <x:v>350000</x:v>
      </x:c>
    </x:row>
    <x:row r="9">
      <x:c r="A9" s="7" t="str">
        <x:v>Evacuação médica</x:v>
      </x:c>
      <x:c r="B9" s="7" t="str">
        <x:v>Não</x:v>
      </x:c>
      <x:c r="C9" s="7" t="str">
        <x:v>Angola</x:v>
      </x:c>
      <x:c r="D9" s="7" t="str">
        <x:v>África Austral</x:v>
      </x:c>
      <x:c r="E9" s="7" t="str">
        <x:v>África Austral + internacional controlado</x:v>
      </x:c>
    </x:row>
    <x:row r="10">
      <x:c r="A10" s="7" t="str">
        <x:v>Rede base</x:v>
      </x:c>
      <x:c r="B10" s="7" t="str">
        <x:v>Angola</x:v>
      </x:c>
      <x:c r="C10" s="7" t="str">
        <x:v>Angola</x:v>
      </x:c>
      <x:c r="D10" s="7" t="str">
        <x:v>Angola + África Austral</x:v>
      </x:c>
      <x:c r="E10" s="7" t="str">
        <x:v>Angola + África Austral + extensão aprovada</x:v>
      </x:c>
    </x:row>
    <x:row r="11">
      <x:c r="A11" s="7" t="str">
        <x:v>Copagamento ambulatório</x:v>
      </x:c>
      <x:c r="B11" s="23" t="n">
        <x:v>0.2</x:v>
      </x:c>
      <x:c r="C11" s="23" t="n">
        <x:v>0.15</x:v>
      </x:c>
      <x:c r="D11" s="23" t="n">
        <x:v>0.1</x:v>
      </x:c>
      <x:c r="E11" s="23" t="n">
        <x:v>0.05</x:v>
      </x:c>
    </x:row>
    <x:row r="12">
      <x:c r="A12" s="7" t="str">
        <x:v>Reembolso fora da rede</x:v>
      </x:c>
      <x:c r="B12" s="23" t="n">
        <x:v>0</x:v>
      </x:c>
      <x:c r="C12" s="23" t="n">
        <x:v>0.6</x:v>
      </x:c>
      <x:c r="D12" s="23" t="n">
        <x:v>0.75</x:v>
      </x:c>
      <x:c r="E12" s="23" t="n">
        <x:v>0.85</x:v>
      </x:c>
    </x:row>
    <x:row r="13">
      <x:c r="A13" s="7" t="str">
        <x:v>Pré-autorização hospitalar</x:v>
      </x:c>
      <x:c r="B13" s="7" t="str">
        <x:v>Sim</x:v>
      </x:c>
      <x:c r="C13" s="7" t="str">
        <x:v>Sim</x:v>
      </x:c>
      <x:c r="D13" s="7" t="str">
        <x:v>Sim</x:v>
      </x:c>
      <x:c r="E13" s="7" t="str">
        <x:v>Sim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4" hidden="0" customWidth="1"/>
    <x:col min="4" max="4" width="24" hidden="0" customWidth="1"/>
    <x:col min="5" max="5" width="52" hidden="0" customWidth="1"/>
    <x:col min="6" max="6" width="16" hidden="0" customWidth="1"/>
  </x:cols>
  <x:sheetData>
    <x:row r="1">
      <x:c r="A1" s="13" t="str">
        <x:v>Plan Code</x:v>
      </x:c>
      <x:c r="B1" s="13" t="str">
        <x:v>Plano</x:v>
      </x:c>
      <x:c r="C1" s="13" t="str">
        <x:v>Prémio Base Anual (AOA)</x:v>
      </x:c>
      <x:c r="D1" s="13" t="str">
        <x:v>Equiv. Mensal (AOA)</x:v>
      </x:c>
      <x:c r="E1" s="13" t="str">
        <x:v>Base técnica</x:v>
      </x:c>
      <x:c r="F1" s="13" t="str">
        <x:v>Status</x:v>
      </x:c>
    </x:row>
    <x:row r="2">
      <x:c r="A2" t="str">
        <x:v>ESS</x:v>
      </x:c>
      <x:c r="B2" t="str">
        <x:v>ESSENCIAL</x:v>
      </x:c>
      <x:c r="C2" s="26" t="n">
        <x:v>360000</x:v>
      </x:c>
      <x:c r="D2" s="18" t="n">
        <x:f>C2/12</x:f>
        <x:v>30000</x:v>
      </x:c>
      <x:c r="E2" t="str">
        <x:v>Adulto 30–39, rede Angola, grupo 50–199</x:v>
      </x:c>
      <x:c r="F2" t="str">
        <x:v>FICTÍCIO</x:v>
      </x:c>
    </x:row>
    <x:row r="3">
      <x:c r="A3" t="str">
        <x:v>STD</x:v>
      </x:c>
      <x:c r="B3" t="str">
        <x:v>STANDARD</x:v>
      </x:c>
      <x:c r="C3" s="26" t="n">
        <x:v>660000</x:v>
      </x:c>
      <x:c r="D3" s="18" t="n">
        <x:f>C3/12</x:f>
        <x:v>55000</x:v>
      </x:c>
      <x:c r="E3" t="str">
        <x:v>Adulto 30–39, rede Angola, grupo 50–199</x:v>
      </x:c>
      <x:c r="F3" t="str">
        <x:v>FICTÍCIO</x:v>
      </x:c>
    </x:row>
    <x:row r="4">
      <x:c r="A4" t="str">
        <x:v>PLS</x:v>
      </x:c>
      <x:c r="B4" t="str">
        <x:v>PLUS</x:v>
      </x:c>
      <x:c r="C4" s="26" t="n">
        <x:v>1050000</x:v>
      </x:c>
      <x:c r="D4" s="18" t="n">
        <x:f>C4/12</x:f>
        <x:v>87500</x:v>
      </x:c>
      <x:c r="E4" t="str">
        <x:v>Adulto 30–39, rede Angola + opção África Austral</x:v>
      </x:c>
      <x:c r="F4" t="str">
        <x:v>FICTÍCIO</x:v>
      </x:c>
    </x:row>
    <x:row r="5">
      <x:c r="A5" t="str">
        <x:v>PRM</x:v>
      </x:c>
      <x:c r="B5" t="str">
        <x:v>PREMIUM</x:v>
      </x:c>
      <x:c r="C5" s="26" t="n">
        <x:v>1740000</x:v>
      </x:c>
      <x:c r="D5" s="18" t="n">
        <x:f>C5/12</x:f>
        <x:v>145000</x:v>
      </x:c>
      <x:c r="E5" t="str">
        <x:v>Adulto 30–39, benefício alargado</x:v>
      </x:c>
      <x:c r="F5" t="str">
        <x:v>FICTÍCIO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4" hidden="0" customWidth="1"/>
    <x:col min="5" max="5" width="62" hidden="0" customWidth="1"/>
  </x:cols>
  <x:sheetData>
    <x:row r="1">
      <x:c r="A1" s="13" t="str">
        <x:v>Age Band</x:v>
      </x:c>
      <x:c r="B1" s="13" t="str">
        <x:v>Min Age</x:v>
      </x:c>
      <x:c r="C1" s="13" t="str">
        <x:v>Max Age</x:v>
      </x:c>
      <x:c r="D1" s="13" t="str">
        <x:v>Factor</x:v>
      </x:c>
      <x:c r="E1" s="13" t="str">
        <x:v>Actuarial rationale / calibration question</x:v>
      </x:c>
    </x:row>
    <x:row r="2">
      <x:c r="A2" s="7" t="str">
        <x:v>0–5</x:v>
      </x:c>
      <x:c r="B2" s="7" t="n">
        <x:v>0</x:v>
      </x:c>
      <x:c r="C2" s="7" t="n">
        <x:v>5</x:v>
      </x:c>
      <x:c r="D2" s="32" t="n">
        <x:v>0.62</x:v>
      </x:c>
      <x:c r="E2" s="7" t="str">
        <x:v>Paediatric utilisation; validate frequency/severity</x:v>
      </x:c>
    </x:row>
    <x:row r="3">
      <x:c r="A3" s="7" t="str">
        <x:v>6–17</x:v>
      </x:c>
      <x:c r="B3" s="7" t="n">
        <x:v>6</x:v>
      </x:c>
      <x:c r="C3" s="7" t="n">
        <x:v>17</x:v>
      </x:c>
      <x:c r="D3" s="32" t="n">
        <x:v>0.48</x:v>
      </x:c>
      <x:c r="E3" s="7" t="str">
        <x:v>Lower expected severity; validate local utilisation</x:v>
      </x:c>
    </x:row>
    <x:row r="4">
      <x:c r="A4" s="7" t="str">
        <x:v>18–24</x:v>
      </x:c>
      <x:c r="B4" s="7" t="n">
        <x:v>18</x:v>
      </x:c>
      <x:c r="C4" s="7" t="n">
        <x:v>24</x:v>
      </x:c>
      <x:c r="D4" s="32" t="n">
        <x:v>0.72</x:v>
      </x:c>
      <x:c r="E4" s="7" t="str">
        <x:v>Young adult below reference</x:v>
      </x:c>
    </x:row>
    <x:row r="5">
      <x:c r="A5" s="7" t="str">
        <x:v>25–29</x:v>
      </x:c>
      <x:c r="B5" s="7" t="n">
        <x:v>25</x:v>
      </x:c>
      <x:c r="C5" s="7" t="n">
        <x:v>29</x:v>
      </x:c>
      <x:c r="D5" s="32" t="n">
        <x:v>0.88</x:v>
      </x:c>
      <x:c r="E5" s="7" t="str">
        <x:v>Transition to reference age</x:v>
      </x:c>
    </x:row>
    <x:row r="6">
      <x:c r="A6" s="7" t="str">
        <x:v>30–39</x:v>
      </x:c>
      <x:c r="B6" s="7" t="n">
        <x:v>30</x:v>
      </x:c>
      <x:c r="C6" s="7" t="n">
        <x:v>39</x:v>
      </x:c>
      <x:c r="D6" s="32" t="n">
        <x:v>1</x:v>
      </x:c>
      <x:c r="E6" s="7" t="str">
        <x:v>Reference band</x:v>
      </x:c>
    </x:row>
    <x:row r="7">
      <x:c r="A7" s="7" t="str">
        <x:v>40–49</x:v>
      </x:c>
      <x:c r="B7" s="7" t="n">
        <x:v>40</x:v>
      </x:c>
      <x:c r="C7" s="7" t="n">
        <x:v>49</x:v>
      </x:c>
      <x:c r="D7" s="32" t="n">
        <x:v>1.28</x:v>
      </x:c>
      <x:c r="E7" s="7" t="str">
        <x:v>Higher chronic/diagnostic utilisation</x:v>
      </x:c>
    </x:row>
    <x:row r="8">
      <x:c r="A8" s="7" t="str">
        <x:v>50–59</x:v>
      </x:c>
      <x:c r="B8" s="7" t="n">
        <x:v>50</x:v>
      </x:c>
      <x:c r="C8" s="7" t="n">
        <x:v>59</x:v>
      </x:c>
      <x:c r="D8" s="32" t="n">
        <x:v>1.72</x:v>
      </x:c>
      <x:c r="E8" s="7" t="str">
        <x:v>Higher frequency and severity</x:v>
      </x:c>
    </x:row>
    <x:row r="9">
      <x:c r="A9" s="7" t="str">
        <x:v>60–64</x:v>
      </x:c>
      <x:c r="B9" s="7" t="n">
        <x:v>60</x:v>
      </x:c>
      <x:c r="C9" s="7" t="n">
        <x:v>64</x:v>
      </x:c>
      <x:c r="D9" s="32" t="n">
        <x:v>2.25</x:v>
      </x:c>
      <x:c r="E9" s="7" t="str">
        <x:v>Older-age morbidity; validation required</x:v>
      </x:c>
    </x:row>
    <x:row r="10">
      <x:c r="A10" s="7" t="str">
        <x:v>65–69</x:v>
      </x:c>
      <x:c r="B10" s="7" t="n">
        <x:v>65</x:v>
      </x:c>
      <x:c r="C10" s="7" t="n">
        <x:v>69</x:v>
      </x:c>
      <x:c r="D10" s="32" t="n">
        <x:v>2.9</x:v>
      </x:c>
      <x:c r="E10" s="7" t="str">
        <x:v>High-risk band; eligibility must be approved</x:v>
      </x:c>
    </x:row>
    <x:row r="11">
      <x:c r="A11" s="7" t="str">
        <x:v>70+</x:v>
      </x:c>
      <x:c r="B11" s="7" t="n">
        <x:v>70</x:v>
      </x:c>
      <x:c r="C11" s="7" t="n">
        <x:v>120</x:v>
      </x:c>
      <x:c r="D11" s="32" t="n">
        <x:v>3.8</x:v>
      </x:c>
      <x:c r="E11" s="7" t="str">
        <x:v>Illustrative only; explicit eligibility/underwriting decision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6" hidden="0" customWidth="1"/>
    <x:col min="3" max="3" width="62" hidden="0" customWidth="1"/>
  </x:cols>
  <x:sheetData>
    <x:row r="1">
      <x:c r="A1" s="11" t="str">
        <x:v>A. Relação / composição familiar</x:v>
      </x:c>
      <x:c r="B1" s="11" t="str"/>
      <x:c r="C1" s="11" t="str"/>
    </x:row>
    <x:row r="2">
      <x:c r="A2" s="13" t="str">
        <x:v>Categoria</x:v>
      </x:c>
      <x:c r="B2" s="13" t="str">
        <x:v>Factor</x:v>
      </x:c>
      <x:c r="C2" s="13" t="str">
        <x:v>Nota</x:v>
      </x:c>
    </x:row>
    <x:row r="3">
      <x:c r="A3" s="7" t="str">
        <x:v>Titular</x:v>
      </x:c>
      <x:c r="B3" s="32" t="n">
        <x:v>1</x:v>
      </x:c>
      <x:c r="C3" s="7" t="str">
        <x:v>Factor neutro; idade continua a aplicar-se</x:v>
      </x:c>
    </x:row>
    <x:row r="4">
      <x:c r="A4" s="7" t="str">
        <x:v>Cônjuge/Adulto</x:v>
      </x:c>
      <x:c r="B4" s="32" t="n">
        <x:v>0.95</x:v>
      </x:c>
      <x:c r="C4" s="7" t="str">
        <x:v>Ilustrativo; validar se deve ser 1.00</x:v>
      </x:c>
    </x:row>
    <x:row r="5">
      <x:c r="A5" s="7" t="str">
        <x:v>Filho 0–17</x:v>
      </x:c>
      <x:c r="B5" s="32" t="n">
        <x:v>0.55</x:v>
      </x:c>
      <x:c r="C5" s="7" t="str">
        <x:v>Pode ser substituído por age-rating puro</x:v>
      </x:c>
    </x:row>
    <x:row r="6">
      <x:c r="A6" s="7" t="str">
        <x:v>Filho 18–25 estudante</x:v>
      </x:c>
      <x:c r="B6" s="32" t="n">
        <x:v>0.7</x:v>
      </x:c>
      <x:c r="C6" s="7" t="str">
        <x:v>Sujeito a regra de elegibilidade</x:v>
      </x:c>
    </x:row>
    <x:row r="7">
      <x:c r="A7" s="7" t="str"/>
      <x:c r="B7" s="7" t="str"/>
      <x:c r="C7" s="7" t="str"/>
    </x:row>
    <x:row r="8">
      <x:c r="A8" s="11" t="str">
        <x:v>B. Dimensão do grupo</x:v>
      </x:c>
      <x:c r="B8" s="11" t="str"/>
      <x:c r="C8" s="11" t="str"/>
    </x:row>
    <x:row r="9">
      <x:c r="A9" s="13" t="str">
        <x:v>Vidas</x:v>
      </x:c>
      <x:c r="B9" s="13" t="str">
        <x:v>Factor</x:v>
      </x:c>
      <x:c r="C9" s="13" t="str">
        <x:v>Interpretação</x:v>
      </x:c>
    </x:row>
    <x:row r="10">
      <x:c r="A10" s="7" t="str">
        <x:v>1–9</x:v>
      </x:c>
      <x:c r="B10" s="32" t="n">
        <x:v>1.15</x:v>
      </x:c>
      <x:c r="C10" s="7" t="str">
        <x:v>Pequeno grupo / menor credibilidade</x:v>
      </x:c>
    </x:row>
    <x:row r="11">
      <x:c r="A11" s="7" t="str">
        <x:v>10–49</x:v>
      </x:c>
      <x:c r="B11" s="32" t="n">
        <x:v>1.07</x:v>
      </x:c>
      <x:c r="C11" s="7" t="str">
        <x:v>Pequeno-médio</x:v>
      </x:c>
    </x:row>
    <x:row r="12">
      <x:c r="A12" s="7" t="str">
        <x:v>50–199</x:v>
      </x:c>
      <x:c r="B12" s="32" t="n">
        <x:v>1</x:v>
      </x:c>
      <x:c r="C12" s="7" t="str">
        <x:v>Grupo de referência</x:v>
      </x:c>
    </x:row>
    <x:row r="13">
      <x:c r="A13" s="7" t="str">
        <x:v>200–499</x:v>
      </x:c>
      <x:c r="B13" s="32" t="n">
        <x:v>0.96</x:v>
      </x:c>
      <x:c r="C13" s="7" t="str">
        <x:v>Economia de escala / maior credibilidade</x:v>
      </x:c>
    </x:row>
    <x:row r="14">
      <x:c r="A14" s="7" t="str">
        <x:v>500–999</x:v>
      </x:c>
      <x:c r="B14" s="32" t="n">
        <x:v>0.93</x:v>
      </x:c>
      <x:c r="C14" s="7" t="str">
        <x:v>Grande grupo</x:v>
      </x:c>
    </x:row>
    <x:row r="15">
      <x:c r="A15" s="7" t="str">
        <x:v>1000+</x:v>
      </x:c>
      <x:c r="B15" s="32" t="n">
        <x:v>0.9</x:v>
      </x:c>
      <x:c r="C15" s="7" t="str">
        <x:v>Muito grande; desconto deve depender de experiência</x:v>
      </x:c>
    </x:row>
    <x:row r="16">
      <x:c r="A16" s="7" t="str"/>
      <x:c r="B16" s="7" t="str"/>
      <x:c r="C16" s="7" t="str"/>
    </x:row>
    <x:row r="17">
      <x:c r="A17" s="11" t="str">
        <x:v>C. Área de cobertura</x:v>
      </x:c>
      <x:c r="B17" s="11" t="str"/>
      <x:c r="C17" s="11" t="str"/>
    </x:row>
    <x:row r="18">
      <x:c r="A18" s="13" t="str">
        <x:v>Âmbito</x:v>
      </x:c>
      <x:c r="B18" s="13" t="str">
        <x:v>Factor</x:v>
      </x:c>
      <x:c r="C18" s="13" t="str">
        <x:v>Interpretação</x:v>
      </x:c>
    </x:row>
    <x:row r="19">
      <x:c r="A19" s="7" t="str">
        <x:v>Angola — rede preferencial</x:v>
      </x:c>
      <x:c r="B19" s="32" t="n">
        <x:v>1</x:v>
      </x:c>
      <x:c r="C19" s="7" t="str">
        <x:v>Base</x:v>
      </x:c>
    </x:row>
    <x:row r="20">
      <x:c r="A20" s="7" t="str">
        <x:v>Angola — rede alargada</x:v>
      </x:c>
      <x:c r="B20" s="32" t="n">
        <x:v>1.08</x:v>
      </x:c>
      <x:c r="C20" s="7" t="str">
        <x:v>Maior liberdade/reembolso</x:v>
      </x:c>
    </x:row>
    <x:row r="21">
      <x:c r="A21" s="7" t="str">
        <x:v>Angola + África Austral</x:v>
      </x:c>
      <x:c r="B21" s="32" t="n">
        <x:v>1.35</x:v>
      </x:c>
      <x:c r="C21" s="7" t="str">
        <x:v>Custos transfronteiriços e câmbio</x:v>
      </x:c>
    </x:row>
    <x:row r="22">
      <x:c r="A22" s="7" t="str">
        <x:v>Angola + África Austral + Europa programada</x:v>
      </x:c>
      <x:c r="B22" s="32" t="n">
        <x:v>1.7</x:v>
      </x:c>
      <x:c r="C22" s="7" t="str">
        <x:v>Uso internacional controlado</x:v>
      </x:c>
    </x:row>
    <x:row r="23">
      <x:c r="A23" s="7" t="str">
        <x:v>Internacional amplo</x:v>
      </x:c>
      <x:c r="B23" s="32" t="n">
        <x:v>2.2</x:v>
      </x:c>
      <x:c r="C23" s="7" t="str">
        <x:v>Ilustrativo; requer resseguro/gestão clínica</x:v>
      </x:c>
    </x:row>
    <x:row r="24">
      <x:c r="A24" s="7" t="str"/>
      <x:c r="B24" s="7" t="str"/>
      <x:c r="C24" s="7" t="str"/>
    </x:row>
    <x:row r="25">
      <x:c r="A25" s="11" t="str">
        <x:v>D. Experiência de sinistros / loss ratio</x:v>
      </x:c>
      <x:c r="B25" s="11" t="str"/>
      <x:c r="C25" s="11" t="str"/>
    </x:row>
    <x:row r="26">
      <x:c r="A26" s="13" t="str">
        <x:v>Loss Ratio histórico ajustado</x:v>
      </x:c>
      <x:c r="B26" s="13" t="str">
        <x:v>Factor</x:v>
      </x:c>
      <x:c r="C26" s="13" t="str">
        <x:v>Aplicação</x:v>
      </x:c>
    </x:row>
    <x:row r="27">
      <x:c r="A27" s="7" t="str">
        <x:v>&lt; 55%</x:v>
      </x:c>
      <x:c r="B27" s="32" t="n">
        <x:v>0.92</x:v>
      </x:c>
      <x:c r="C27" s="7" t="str">
        <x:v>Experiência favorável</x:v>
      </x:c>
    </x:row>
    <x:row r="28">
      <x:c r="A28" s="7" t="str">
        <x:v>55%–65%</x:v>
      </x:c>
      <x:c r="B28" s="32" t="n">
        <x:v>0.97</x:v>
      </x:c>
      <x:c r="C28" s="7" t="str">
        <x:v>Favorável</x:v>
      </x:c>
    </x:row>
    <x:row r="29">
      <x:c r="A29" s="7" t="str">
        <x:v>65%–75%</x:v>
      </x:c>
      <x:c r="B29" s="32" t="n">
        <x:v>1</x:v>
      </x:c>
      <x:c r="C29" s="7" t="str">
        <x:v>Faixa de referência</x:v>
      </x:c>
    </x:row>
    <x:row r="30">
      <x:c r="A30" s="7" t="str">
        <x:v>75%–85%</x:v>
      </x:c>
      <x:c r="B30" s="32" t="n">
        <x:v>1.08</x:v>
      </x:c>
      <x:c r="C30" s="7" t="str">
        <x:v>Deterioração moderada</x:v>
      </x:c>
    </x:row>
    <x:row r="31">
      <x:c r="A31" s="7" t="str">
        <x:v>85%–100%</x:v>
      </x:c>
      <x:c r="B31" s="32" t="n">
        <x:v>1.18</x:v>
      </x:c>
      <x:c r="C31" s="7" t="str">
        <x:v>Deterioração relevante</x:v>
      </x:c>
    </x:row>
    <x:row r="32">
      <x:c r="A32" s="7" t="str">
        <x:v>&gt; 100%</x:v>
      </x:c>
      <x:c r="B32" s="32" t="n">
        <x:v>1.35</x:v>
      </x:c>
      <x:c r="C32" s="7" t="str">
        <x:v>Repricing/referral obrigatório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18" hidden="0" customWidth="1"/>
    <x:col min="4" max="4" width="58" hidden="0" customWidth="1"/>
  </x:cols>
  <x:sheetData>
    <x:row r="1">
      <x:c r="A1" s="13" t="str">
        <x:v>Componente</x:v>
      </x:c>
      <x:c r="B1" s="13" t="str">
        <x:v>% sobre prémio de risco</x:v>
      </x:c>
      <x:c r="C1" s="13" t="str">
        <x:v>Natureza</x:v>
      </x:c>
      <x:c r="D1" s="13" t="str">
        <x:v>Pergunta ao actuário</x:v>
      </x:c>
    </x:row>
    <x:row r="2">
      <x:c r="A2" s="7" t="str">
        <x:v>Administração / TPA</x:v>
      </x:c>
      <x:c r="B2" s="36" t="n">
        <x:v>0.08</x:v>
      </x:c>
      <x:c r="C2" s="7" t="str">
        <x:v>Loading</x:v>
      </x:c>
      <x:c r="D2" s="7" t="str">
        <x:v>Qual o custo real por vida / %?</x:v>
      </x:c>
    </x:row>
    <x:row r="3">
      <x:c r="A3" s="7" t="str">
        <x:v>Aquisição / comissão</x:v>
      </x:c>
      <x:c r="B3" s="36" t="n">
        <x:v>0.1</x:v>
      </x:c>
      <x:c r="C3" s="7" t="str">
        <x:v>Loading</x:v>
      </x:c>
      <x:c r="D3" s="7" t="str">
        <x:v>Qual a comissão/canal por segmento?</x:v>
      </x:c>
    </x:row>
    <x:row r="4">
      <x:c r="A4" s="7" t="str">
        <x:v>Margem de segurança</x:v>
      </x:c>
      <x:c r="B4" s="36" t="n">
        <x:v>0.07</x:v>
      </x:c>
      <x:c r="C4" s="7" t="str">
        <x:v>Loading</x:v>
      </x:c>
      <x:c r="D4" s="7" t="str">
        <x:v>Qual margem para volatilidade/credibilidade?</x:v>
      </x:c>
    </x:row>
    <x:row r="5">
      <x:c r="A5" s="7" t="str">
        <x:v>Custo de capital / solvência</x:v>
      </x:c>
      <x:c r="B5" s="36" t="n">
        <x:v>0.04</x:v>
      </x:c>
      <x:c r="C5" s="7" t="str">
        <x:v>Loading</x:v>
      </x:c>
      <x:c r="D5" s="7" t="str">
        <x:v>Qual target coerente com capital/regulação?</x:v>
      </x:c>
    </x:row>
    <x:row r="6">
      <x:c r="A6" s="7" t="str">
        <x:v>Resseguro / stop loss</x:v>
      </x:c>
      <x:c r="B6" s="36" t="n">
        <x:v>0.03</x:v>
      </x:c>
      <x:c r="C6" s="7" t="str">
        <x:v>Loading</x:v>
      </x:c>
      <x:c r="D6" s="7" t="str">
        <x:v>Aplicável por plano/grupo?</x:v>
      </x:c>
    </x:row>
    <x:row r="7">
      <x:c r="A7" s="7" t="str">
        <x:v>Margem técnica</x:v>
      </x:c>
      <x:c r="B7" s="36" t="n">
        <x:v>0.05</x:v>
      </x:c>
      <x:c r="C7" s="7" t="str">
        <x:v>Loading</x:v>
      </x:c>
      <x:c r="D7" s="7" t="str">
        <x:v>Qual target de resultado técnico?</x:v>
      </x:c>
    </x:row>
    <x:row r="8">
      <x:c r="A8" s="7" t="str">
        <x:v>Total indicativo</x:v>
      </x:c>
      <x:c r="B8" s="23" t="n">
        <x:f>SUM(B2:B7)</x:f>
        <x:v>0.36999999999999994</x:v>
      </x:c>
      <x:c r="C8" s="7" t="str">
        <x:v>Formula</x:v>
      </x:c>
      <x:c r="D8" s="7" t="str">
        <x:v>Não é valor recomendado; apenas estrutura.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40" hidden="0" customWidth="1"/>
  </x:cols>
  <x:sheetData>
    <x:row r="1">
      <x:c r="A1" s="38" t="str">
        <x:v>SIMULADOR DE PRÉMIO — CASO INDIVIDUAL / VIDA</x:v>
      </x:c>
      <x:c r="B1" s="38" t="str"/>
    </x:row>
    <x:row r="2">
      <x:c r="A2" s="13" t="str">
        <x:v>Campo</x:v>
      </x:c>
      <x:c r="B2" s="13" t="str">
        <x:v>Valor</x:v>
      </x:c>
    </x:row>
    <x:row r="3">
      <x:c r="A3" t="str">
        <x:v>Plano</x:v>
      </x:c>
      <x:c r="B3" s="40" t="str">
        <x:v>STANDARD</x:v>
      </x:c>
    </x:row>
    <x:row r="4">
      <x:c r="A4" t="str">
        <x:v>Idade</x:v>
      </x:c>
      <x:c r="B4" s="40" t="n">
        <x:v>37</x:v>
      </x:c>
    </x:row>
    <x:row r="5">
      <x:c r="A5" t="str">
        <x:v>Relação</x:v>
      </x:c>
      <x:c r="B5" s="40" t="str">
        <x:v>Titular</x:v>
      </x:c>
    </x:row>
    <x:row r="6">
      <x:c r="A6" t="str">
        <x:v>N.º vidas do grupo</x:v>
      </x:c>
      <x:c r="B6" s="40" t="n">
        <x:v>120</x:v>
      </x:c>
    </x:row>
    <x:row r="7">
      <x:c r="A7" t="str">
        <x:v>Área</x:v>
      </x:c>
      <x:c r="B7" s="40" t="str">
        <x:v>Angola — rede preferencial</x:v>
      </x:c>
    </x:row>
    <x:row r="8">
      <x:c r="A8" t="str">
        <x:v>Loss Ratio histórico</x:v>
      </x:c>
      <x:c r="B8" s="34" t="n">
        <x:v>0.7</x:v>
      </x:c>
    </x:row>
    <x:row r="9">
      <x:c r="A9" t="str">
        <x:v>Factor médico/underwriting</x:v>
      </x:c>
      <x:c r="B9" s="40" t="n">
        <x:v>1</x:v>
      </x:c>
    </x:row>
    <x:row r="10">
      <x:c r="A10" t="str"/>
      <x:c r="B10" t="str"/>
    </x:row>
    <x:row r="11">
      <x:c r="A11" s="13" t="str">
        <x:v>Resultado</x:v>
      </x:c>
      <x:c r="B11" s="13" t="str">
        <x:v>Valor</x:v>
      </x:c>
    </x:row>
    <x:row r="12">
      <x:c r="A12" t="str">
        <x:v>Prémio base anual</x:v>
      </x:c>
      <x:c r="B12" s="18" t="n">
        <x:f>IF(B3="ESSENCIAL",'02_Tarifa_Base'!C2,IF(B3="STANDARD",'02_Tarifa_Base'!C3,IF(B3="PLUS",'02_Tarifa_Base'!C4,'02_Tarifa_Base'!C5)))</x:f>
        <x:v>660000</x:v>
      </x:c>
    </x:row>
    <x:row r="13">
      <x:c r="A13" t="str">
        <x:v>Factor idade</x:v>
      </x:c>
      <x:c r="B13" s="28" t="n">
        <x:f>VLOOKUP(B4,'03_Factores_Idade'!B2:D11,3,TRUE)</x:f>
        <x:v>1</x:v>
      </x:c>
    </x:row>
    <x:row r="14">
      <x:c r="A14" t="str">
        <x:v>Factor relação</x:v>
      </x:c>
      <x:c r="B14" s="28" t="n">
        <x:f>IF(B5="Titular",'04_Factores_Comerciais'!B3,IF(B5="Cônjuge/Adulto",'04_Factores_Comerciais'!B4,IF(B5="Filho 0–17",'04_Factores_Comerciais'!B5,'04_Factores_Comerciais'!B6)))</x:f>
        <x:v>1</x:v>
      </x:c>
    </x:row>
    <x:row r="15">
      <x:c r="A15" t="str">
        <x:v>Factor grupo</x:v>
      </x:c>
      <x:c r="B15" s="28" t="n">
        <x:f>IF(B6&lt;10,'04_Factores_Comerciais'!B10,IF(B6&lt;50,'04_Factores_Comerciais'!B11,IF(B6&lt;200,'04_Factores_Comerciais'!B12,IF(B6&lt;500,'04_Factores_Comerciais'!B13,IF(B6&lt;1000,'04_Factores_Comerciais'!B14,'04_Factores_Comerciais'!B15)))))</x:f>
        <x:v>1</x:v>
      </x:c>
    </x:row>
    <x:row r="16">
      <x:c r="A16" t="str">
        <x:v>Factor área</x:v>
      </x:c>
      <x:c r="B16" s="28" t="n">
        <x:f>IF(B7="Angola — rede preferencial",'04_Factores_Comerciais'!B19,IF(B7="Angola — rede alargada",'04_Factores_Comerciais'!B20,IF(B7="Angola + África Austral",'04_Factores_Comerciais'!B21,IF(B7="Angola + África Austral + Europa programada",'04_Factores_Comerciais'!B22,'04_Factores_Comerciais'!B23))))</x:f>
        <x:v>1</x:v>
      </x:c>
    </x:row>
    <x:row r="17">
      <x:c r="A17" t="str">
        <x:v>Factor experiência</x:v>
      </x:c>
      <x:c r="B17" s="28" t="n">
        <x:f>IF(B8&lt;55%,'04_Factores_Comerciais'!B27,IF(B8&lt;65%,'04_Factores_Comerciais'!B28,IF(B8&lt;75%,'04_Factores_Comerciais'!B29,IF(B8&lt;85%,'04_Factores_Comerciais'!B30,IF(B8&lt;=100%,'04_Factores_Comerciais'!B31,'04_Factores_Comerciais'!B32)))))</x:f>
        <x:v>1</x:v>
      </x:c>
    </x:row>
    <x:row r="18">
      <x:c r="A18" t="str">
        <x:v>Factor underwriting</x:v>
      </x:c>
      <x:c r="B18" s="28" t="n">
        <x:f>B9</x:f>
        <x:v>1</x:v>
      </x:c>
    </x:row>
    <x:row r="19">
      <x:c r="A19" t="str">
        <x:v>Prémio de risco ajustado</x:v>
      </x:c>
      <x:c r="B19" s="18" t="n">
        <x:f>B12*B13*B14*B15*B16*B17*B18</x:f>
        <x:v>660000</x:v>
      </x:c>
    </x:row>
    <x:row r="20">
      <x:c r="A20" t="str">
        <x:v>Total loadings</x:v>
      </x:c>
      <x:c r="B20" s="20" t="n">
        <x:f>'05_Loadings_Tecnicos'!B8</x:f>
        <x:v>0.36999999999999994</x:v>
      </x:c>
    </x:row>
    <x:row r="21">
      <x:c r="A21" t="str">
        <x:v>Prémio comercial anual</x:v>
      </x:c>
      <x:c r="B21" s="18" t="n">
        <x:f>B19*(1+B20)</x:f>
        <x:v>904199.9999999999</x:v>
      </x:c>
    </x:row>
    <x:row r="22">
      <x:c r="A22" t="str">
        <x:v>Prémio comercial mensal</x:v>
      </x:c>
      <x:c r="B22" s="18" t="n">
        <x:f>B21/12</x:f>
        <x:v>75349.99999999999</x:v>
      </x:c>
    </x:row>
  </x:sheetData>
  <x:dataValidations count="3">
    <x:dataValidation type="list" sqref="B3">
      <x:formula1>"ESSENCIAL,STANDARD,PLUS,PREMIUM"</x:formula1>
    </x:dataValidation>
    <x:dataValidation type="list" sqref="B5">
      <x:formula1>"Titular,Cônjuge/Adulto,Filho 0–17,Filho 18–25 estudante"</x:formula1>
    </x:dataValidation>
    <x:dataValidation type="list" sqref="B7">
      <x:formula1>"Angola — rede preferencial,Angola — rede alargada,Angola + África Austral,Angola + África Austral + Europa programada,Internacional amplo"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46" hidden="0" customWidth="1"/>
    <x:col min="4" max="4" width="38" hidden="0" customWidth="1"/>
    <x:col min="5" max="5" width="58" hidden="0" customWidth="1"/>
  </x:cols>
  <x:sheetData>
    <x:row r="1">
      <x:c r="A1" s="13" t="str">
        <x:v>Bloco</x:v>
      </x:c>
      <x:c r="B1" s="13" t="str">
        <x:v>Campo a preencher/validar</x:v>
      </x:c>
      <x:c r="C1" s="13" t="str">
        <x:v>Valor simulado actual</x:v>
      </x:c>
      <x:c r="D1" s="13" t="str">
        <x:v>Decisão / valor do actuário</x:v>
      </x:c>
      <x:c r="E1" s="13" t="str">
        <x:v>Observação</x:v>
      </x:c>
    </x:row>
    <x:row r="2">
      <x:c r="A2" s="7" t="str">
        <x:v>Tarifa</x:v>
      </x:c>
      <x:c r="B2" s="7" t="str">
        <x:v>Prémio base por plano</x:v>
      </x:c>
      <x:c r="C2" s="7" t="str">
        <x:v>360k / 660k / 1.05m / 1.74m AOA</x:v>
      </x:c>
      <x:c r="D2" s="46" t="str"/>
      <x:c r="E2" s="7" t="str">
        <x:v>Substituir por tarifa técnica aprovada</x:v>
      </x:c>
    </x:row>
    <x:row r="3">
      <x:c r="A3" s="7" t="str">
        <x:v>Demografia</x:v>
      </x:c>
      <x:c r="B3" s="7" t="str">
        <x:v>Bandas etárias</x:v>
      </x:c>
      <x:c r="C3" s="7" t="str">
        <x:v>0–5; 6–17; 18–24; 25–29; 30–39; 40–49; 50–59; 60–64; 65–69; 70+</x:v>
      </x:c>
      <x:c r="D3" s="46" t="str"/>
      <x:c r="E3" s="7" t="str">
        <x:v>Pode redefinir bandas</x:v>
      </x:c>
    </x:row>
    <x:row r="4">
      <x:c r="A4" s="7" t="str">
        <x:v>Demografia</x:v>
      </x:c>
      <x:c r="B4" s="7" t="str">
        <x:v>Factores etários</x:v>
      </x:c>
      <x:c r="C4" s="7" t="str">
        <x:v>0.62–3.80</x:v>
      </x:c>
      <x:c r="D4" s="46" t="str"/>
      <x:c r="E4" s="7" t="str">
        <x:v>Calibrar por frequência × severidade</x:v>
      </x:c>
    </x:row>
    <x:row r="5">
      <x:c r="A5" s="7" t="str">
        <x:v>Família</x:v>
      </x:c>
      <x:c r="B5" s="7" t="str">
        <x:v>Factor titular/adulto/filho</x:v>
      </x:c>
      <x:c r="C5" s="7" t="str">
        <x:v>1.00 / 0.95 / 0.55–0.70</x:v>
      </x:c>
      <x:c r="D5" s="46" t="str"/>
      <x:c r="E5" s="7" t="str">
        <x:v>Definir rating por relação ou apenas idade</x:v>
      </x:c>
    </x:row>
    <x:row r="6">
      <x:c r="A6" s="7" t="str">
        <x:v>Grupo</x:v>
      </x:c>
      <x:c r="B6" s="7" t="str">
        <x:v>Factores por dimensão</x:v>
      </x:c>
      <x:c r="C6" s="7" t="str">
        <x:v>1.15 a 0.90</x:v>
      </x:c>
      <x:c r="D6" s="46" t="str"/>
      <x:c r="E6" s="7" t="str">
        <x:v>Idealmente suportado por credibilidade</x:v>
      </x:c>
    </x:row>
    <x:row r="7">
      <x:c r="A7" s="7" t="str">
        <x:v>Geografia</x:v>
      </x:c>
      <x:c r="B7" s="7" t="str">
        <x:v>Factor África Austral / internacional</x:v>
      </x:c>
      <x:c r="C7" s="7" t="str">
        <x:v>1.35 / 1.70 / 2.20</x:v>
      </x:c>
      <x:c r="D7" s="46" t="str"/>
      <x:c r="E7" s="7" t="str">
        <x:v>Separar câmbio, provider cost e evacuação</x:v>
      </x:c>
    </x:row>
    <x:row r="8">
      <x:c r="A8" s="7" t="str">
        <x:v>Experiência</x:v>
      </x:c>
      <x:c r="B8" s="7" t="str">
        <x:v>Loss ratio bands</x:v>
      </x:c>
      <x:c r="C8" s="7" t="str">
        <x:v>0.92 a 1.35</x:v>
      </x:c>
      <x:c r="D8" s="46" t="str"/>
      <x:c r="E8" s="7" t="str">
        <x:v>Definir período, credibility e cap/floor</x:v>
      </x:c>
    </x:row>
    <x:row r="9">
      <x:c r="A9" s="7" t="str">
        <x:v>Underwriting</x:v>
      </x:c>
      <x:c r="B9" s="7" t="str">
        <x:v>Factor médico</x:v>
      </x:c>
      <x:c r="C9" s="7" t="str">
        <x:v>1.00 default</x:v>
      </x:c>
      <x:c r="D9" s="46" t="str"/>
      <x:c r="E9" s="7" t="str">
        <x:v>Definir se permitido e em que segmentos</x:v>
      </x:c>
    </x:row>
    <x:row r="10">
      <x:c r="A10" s="7" t="str">
        <x:v>Loading</x:v>
      </x:c>
      <x:c r="B10" s="7" t="str">
        <x:v>Administração/TPA</x:v>
      </x:c>
      <x:c r="C10" s="7" t="str">
        <x:v>8%</x:v>
      </x:c>
      <x:c r="D10" s="46" t="str"/>
      <x:c r="E10" s="7" t="str">
        <x:v>Preferir custo real por vida se disponível</x:v>
      </x:c>
    </x:row>
    <x:row r="11">
      <x:c r="A11" s="7" t="str">
        <x:v>Loading</x:v>
      </x:c>
      <x:c r="B11" s="7" t="str">
        <x:v>Comissão</x:v>
      </x:c>
      <x:c r="C11" s="7" t="str">
        <x:v>10%</x:v>
      </x:c>
      <x:c r="D11" s="46" t="str"/>
      <x:c r="E11" s="7" t="str">
        <x:v>Por canal</x:v>
      </x:c>
    </x:row>
    <x:row r="12">
      <x:c r="A12" s="7" t="str">
        <x:v>Loading</x:v>
      </x:c>
      <x:c r="B12" s="7" t="str">
        <x:v>Margem segurança</x:v>
      </x:c>
      <x:c r="C12" s="7" t="str">
        <x:v>7%</x:v>
      </x:c>
      <x:c r="D12" s="46" t="str"/>
      <x:c r="E12" s="7" t="str">
        <x:v>Volatilidade/IBNR/credibilidade</x:v>
      </x:c>
    </x:row>
    <x:row r="13">
      <x:c r="A13" s="7" t="str">
        <x:v>Loading</x:v>
      </x:c>
      <x:c r="B13" s="7" t="str">
        <x:v>Capital/solvência</x:v>
      </x:c>
      <x:c r="C13" s="7" t="str">
        <x:v>4%</x:v>
      </x:c>
      <x:c r="D13" s="46" t="str"/>
      <x:c r="E13" s="7" t="str">
        <x:v>Validar metodologia</x:v>
      </x:c>
    </x:row>
    <x:row r="14">
      <x:c r="A14" s="7" t="str">
        <x:v>Loading</x:v>
      </x:c>
      <x:c r="B14" s="7" t="str">
        <x:v>Resseguro</x:v>
      </x:c>
      <x:c r="C14" s="7" t="str">
        <x:v>3%</x:v>
      </x:c>
      <x:c r="D14" s="46" t="str"/>
      <x:c r="E14" s="7" t="str">
        <x:v>Por treaty/stop-loss</x:v>
      </x:c>
    </x:row>
    <x:row r="15">
      <x:c r="A15" s="7" t="str">
        <x:v>Loading</x:v>
      </x:c>
      <x:c r="B15" s="7" t="str">
        <x:v>Margem técnica</x:v>
      </x:c>
      <x:c r="C15" s="7" t="str">
        <x:v>5%</x:v>
      </x:c>
      <x:c r="D15" s="46" t="str"/>
      <x:c r="E15" s="7" t="str">
        <x:v>Target aprovado</x:v>
      </x:c>
    </x:row>
    <x:row r="16">
      <x:c r="A16" s="7" t="str">
        <x:v>Inflação</x:v>
      </x:c>
      <x:c r="B16" s="7" t="str">
        <x:v>Medical trend</x:v>
      </x:c>
      <x:c r="C16" s="7" t="str">
        <x:v>Não incorporado automaticamente</x:v>
      </x:c>
      <x:c r="D16" s="46" t="str"/>
      <x:c r="E16" s="7" t="str">
        <x:v>Definir tendência e data-base</x:v>
      </x:c>
    </x:row>
    <x:row r="17">
      <x:c r="A17" s="7" t="str">
        <x:v>Credibilidade</x:v>
      </x:c>
      <x:c r="B17" s="7" t="str">
        <x:v>Método</x:v>
      </x:c>
      <x:c r="C17" s="7" t="str">
        <x:v>Não definido</x:v>
      </x:c>
      <x:c r="D17" s="46" t="str"/>
      <x:c r="E17" s="7" t="str">
        <x:v>Definir Bühlmann/limited fluctuation/outro</x:v>
      </x:c>
    </x:row>
    <x:row r="18">
      <x:c r="A18" s="7" t="str">
        <x:v>Large claims</x:v>
      </x:c>
      <x:c r="B18" s="7" t="str">
        <x:v>Threshold/capping</x:v>
      </x:c>
      <x:c r="C18" s="7" t="str">
        <x:v>Não definido</x:v>
      </x:c>
      <x:c r="D18" s="46" t="str"/>
      <x:c r="E18" s="7" t="str">
        <x:v>Definir tratamento e resseguro</x:v>
      </x:c>
    </x:row>
    <x:row r="19">
      <x:c r="A19" s="7" t="str">
        <x:v>Maternidade</x:v>
      </x:c>
      <x:c r="B19" s="7" t="str">
        <x:v>Carência / sub-limite</x:v>
      </x:c>
      <x:c r="C19" s="7" t="str">
        <x:v>Plano-dependente</x:v>
      </x:c>
      <x:c r="D19" s="46" t="str"/>
      <x:c r="E19" s="7" t="str">
        <x:v>Validar anti-selecção</x:v>
      </x:c>
    </x:row>
    <x:row r="20">
      <x:c r="A20" s="7" t="str">
        <x:v>Crónicos</x:v>
      </x:c>
      <x:c r="B20" s="7" t="str">
        <x:v>Gestão / carregamento</x:v>
      </x:c>
      <x:c r="C20" s="7" t="str">
        <x:v>Não definido</x:v>
      </x:c>
      <x:c r="D20" s="46" t="str"/>
      <x:c r="E20" s="7" t="str">
        <x:v>Definir abordagem</x:v>
      </x:c>
    </x:row>
    <x:row r="21">
      <x:c r="A21" s="7" t="str">
        <x:v>Validade</x:v>
      </x:c>
      <x:c r="B21" s="7" t="str">
        <x:v>Período da tarifa</x:v>
      </x:c>
      <x:c r="C21" s="7" t="str">
        <x:v>A definir</x:v>
      </x:c>
      <x:c r="D21" s="46" t="str"/>
      <x:c r="E21" s="7" t="str">
        <x:v>effective_from/effective_to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68" hidden="0" customWidth="1"/>
    <x:col min="3" max="3" width="72" hidden="0" customWidth="1"/>
    <x:col min="4" max="4" width="50" hidden="0" customWidth="1"/>
  </x:cols>
  <x:sheetData>
    <x:row r="1">
      <x:c r="A1" s="13" t="str">
        <x:v>Fonte</x:v>
      </x:c>
      <x:c r="B1" s="13" t="str">
        <x:v>Referência estrutural</x:v>
      </x:c>
      <x:c r="C1" s="13" t="str">
        <x:v>URL</x:v>
      </x:c>
      <x:c r="D1" s="13" t="str">
        <x:v>Nota</x:v>
      </x:c>
    </x:row>
    <x:row r="2">
      <x:c r="A2" s="7" t="str">
        <x:v>Council for Medical Schemes — 2024 Industry Report</x:v>
      </x:c>
      <x:c r="B2" s="7" t="str">
        <x:v>Demografia/idade média e sustentabilidade</x:v>
      </x:c>
      <x:c r="C2" s="7" t="str">
        <x:v>https://www.medicalschemes.co.za/the-2024-cms-industry-report-is-now-available/</x:v>
      </x:c>
      <x:c r="D2" s="7" t="str">
        <x:v>Referência sul-africana; não usada como tarifa Angola.</x:v>
      </x:c>
    </x:row>
    <x:row r="3">
      <x:c r="A3" s="7" t="str">
        <x:v>International Actuarial Association — Regional variation</x:v>
      </x:c>
      <x:c r="B3" s="7" t="str">
        <x:v>Custos privados variam por idade/região; contexto de inflação médica</x:v>
      </x:c>
      <x:c r="C3" s="7" t="str">
        <x:v>https://actuaries.org/app/uploads/2025/08/Regional-variation-presentation.pdf</x:v>
      </x:c>
      <x:c r="D3" s="7" t="str">
        <x:v>Justifica estrutura, não os factores simulados.</x:v>
      </x:c>
    </x:row>
    <x:row r="4">
      <x:c r="A4" s="7" t="str">
        <x:v>MultiChoice Medical Aid Scheme 2025</x:v>
      </x:c>
      <x:c r="B4" s="7" t="str">
        <x:v>Estrutura principal/adulto/criança e bandas</x:v>
      </x:c>
      <x:c r="C4" s="7" t="str">
        <x:v>https://www.mcmas.co.za/wcm/medical-schemes/mmed/assets/find-a-document/benefit-guides/2025/member-guide.pdf</x:v>
      </x:c>
      <x:c r="D4" s="7" t="str">
        <x:v>Referência de desenho.</x:v>
      </x:c>
    </x:row>
    <x:row r="5">
      <x:c r="A5" s="7" t="str">
        <x:v>Genesis Medical Scheme</x:v>
      </x:c>
      <x:c r="B5" s="7" t="str">
        <x:v>Contribuições por principal/adulto/criança e por plano</x:v>
      </x:c>
      <x:c r="C5" s="7" t="str">
        <x:v>https://www.genesismedical.co.za/benefits-and-plans/how-much-will-i-pay/</x:v>
      </x:c>
      <x:c r="D5" s="7" t="str">
        <x:v>Sem conversão ZAR→AOA.</x:v>
      </x:c>
    </x:row>
    <x:row r="6">
      <x:c r="A6" s="7" t="str">
        <x:v>A NOSSA Seguros — cotação pública 2026</x:v>
      </x:c>
      <x:c r="B6" s="7" t="str">
        <x:v>Exemplo angolano de Corporate Premium, rede exterior, hospitalização e reembolso</x:v>
      </x:c>
      <x:c r="C6" s="7" t="str">
        <x:v>https://pt.scribd.com/document/1073436239/COTAC-A-O-ANYTECH-MEDICAL-SERVICE-LDA-23-04-2026</x:v>
      </x:c>
      <x:c r="D6" s="7" t="str">
        <x:v>Contextual; não copiada como tarifa.</x:v>
      </x:c>
    </x:row>
    <x:row r="7">
      <x:c r="A7" s="7" t="str">
        <x:v>Fidelidade Angola — simulação pública 2024</x:v>
      </x:c>
      <x:c r="B7" s="7" t="str">
        <x:v>Exemplo de prémio anual em AOA e validade de cotação</x:v>
      </x:c>
      <x:c r="C7" s="7" t="str">
        <x:v>https://pt.scribd.com/document/798496389/SimulacaoSaudeParticulares-2024-09-27-5-1</x:v>
      </x:c>
      <x:c r="D7" s="7" t="str">
        <x:v>Contextual; não copiada como tarifa.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26" hidden="0" customWidth="1"/>
    <x:col min="3" max="3" width="54" hidden="0" customWidth="1"/>
  </x:cols>
  <x:sheetData>
    <x:row r="1">
      <x:c r="A1" s="13" t="str">
        <x:v>INDICADOR</x:v>
      </x:c>
      <x:c r="B1" s="13" t="str">
        <x:v>VALOR</x:v>
      </x:c>
      <x:c r="C1" s="13" t="str">
        <x:v>LEITURA</x:v>
      </x:c>
    </x:row>
    <x:row r="2">
      <x:c r="A2" t="str">
        <x:v>Planos simulados</x:v>
      </x:c>
      <x:c r="B2" t="n">
        <x:v>4</x:v>
      </x:c>
      <x:c r="C2" t="str">
        <x:v>Essencial, Standard, Plus, Premium</x:v>
      </x:c>
    </x:row>
    <x:row r="3">
      <x:c r="A3" t="str">
        <x:v>Base anual adulto 30–39 — mínimo</x:v>
      </x:c>
      <x:c r="B3" s="18" t="n">
        <x:v>360000</x:v>
      </x:c>
      <x:c r="C3" t="str">
        <x:v>AOA; fictício</x:v>
      </x:c>
    </x:row>
    <x:row r="4">
      <x:c r="A4" t="str">
        <x:v>Base anual adulto 30–39 — máximo</x:v>
      </x:c>
      <x:c r="B4" s="18" t="n">
        <x:v>1740000</x:v>
      </x:c>
      <x:c r="C4" t="str">
        <x:v>AOA; fictício</x:v>
      </x:c>
    </x:row>
    <x:row r="5">
      <x:c r="A5" t="str">
        <x:v>Factores etários</x:v>
      </x:c>
      <x:c r="B5" t="n">
        <x:v>10</x:v>
      </x:c>
      <x:c r="C5" t="str">
        <x:v>0–5 até 70+</x:v>
      </x:c>
    </x:row>
    <x:row r="6">
      <x:c r="A6" t="str">
        <x:v>Factor grupo — intervalo</x:v>
      </x:c>
      <x:c r="B6" t="str">
        <x:v>0.90x–1.15x</x:v>
      </x:c>
      <x:c r="C6" t="str">
        <x:v>Ilustrativo</x:v>
      </x:c>
    </x:row>
    <x:row r="7">
      <x:c r="A7" t="str">
        <x:v>Factor geografia — intervalo</x:v>
      </x:c>
      <x:c r="B7" t="str">
        <x:v>1.00x–2.20x</x:v>
      </x:c>
      <x:c r="C7" t="str">
        <x:v>Ilustrativo</x:v>
      </x:c>
    </x:row>
    <x:row r="8">
      <x:c r="A8" t="str">
        <x:v>Factor experiência — intervalo</x:v>
      </x:c>
      <x:c r="B8" t="str">
        <x:v>0.92x–1.35x</x:v>
      </x:c>
      <x:c r="C8" t="str">
        <x:v>Ilustrativo</x:v>
      </x:c>
    </x:row>
    <x:row r="9">
      <x:c r="A9" t="str">
        <x:v>Loadings simulados</x:v>
      </x:c>
      <x:c r="B9" s="20" t="n">
        <x:v>0.37</x:v>
      </x:c>
      <x:c r="C9" t="str">
        <x:v>Soma dos componentes</x:v>
      </x:c>
    </x:row>
    <x:row r="10">
      <x:c r="A10" t="str">
        <x:v>Tarifa oficial?</x:v>
      </x:c>
      <x:c r="B10" t="str">
        <x:v>NÃO</x:v>
      </x:c>
      <x:c r="C10" t="str">
        <x:v>A validar/substituir pelo actuário</x:v>
      </x:c>
    </x:row>
  </x:sheetData>
  <x:pageMargins left="0.7" right="0.7" top="0.75" bottom="0.75" header="0.3" footer="0.3"/>
  <x:drawing xmlns:r="http://schemas.openxmlformats.org/officeDocument/2006/relationships" r:id="R227c0db386f24963"/>
</x:worksheet>
</file>